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batting" sheetId="1" r:id="rId5"/>
    <sheet state="visible" name="player_pitching" sheetId="2" r:id="rId6"/>
    <sheet state="visible" name="team_batting" sheetId="3" r:id="rId7"/>
    <sheet state="visible" name="team_pitching" sheetId="4" r:id="rId8"/>
    <sheet state="visible" name="rpi_041526" sheetId="5" r:id="rId9"/>
  </sheets>
  <definedNames/>
  <calcPr/>
</workbook>
</file>

<file path=xl/sharedStrings.xml><?xml version="1.0" encoding="utf-8"?>
<sst xmlns="http://schemas.openxmlformats.org/spreadsheetml/2006/main" count="1109" uniqueCount="499">
  <si>
    <t>Player</t>
  </si>
  <si>
    <t>Team</t>
  </si>
  <si>
    <t>Class</t>
  </si>
  <si>
    <t>POS</t>
  </si>
  <si>
    <t>BA</t>
  </si>
  <si>
    <t>OBP</t>
  </si>
  <si>
    <t>SLG</t>
  </si>
  <si>
    <t>OPS</t>
  </si>
  <si>
    <t>GP</t>
  </si>
  <si>
    <t>PA</t>
  </si>
  <si>
    <t>AB</t>
  </si>
  <si>
    <t>R</t>
  </si>
  <si>
    <t>H</t>
  </si>
  <si>
    <t>2B</t>
  </si>
  <si>
    <t>3B</t>
  </si>
  <si>
    <t>HR</t>
  </si>
  <si>
    <t>RBI</t>
  </si>
  <si>
    <t>HBP</t>
  </si>
  <si>
    <t>BB</t>
  </si>
  <si>
    <t>K</t>
  </si>
  <si>
    <t>SB</t>
  </si>
  <si>
    <t>CS</t>
  </si>
  <si>
    <t>Isa Torres</t>
  </si>
  <si>
    <t>Florida State</t>
  </si>
  <si>
    <t>JR</t>
  </si>
  <si>
    <t>SS</t>
  </si>
  <si>
    <t>Moriah Polar</t>
  </si>
  <si>
    <t>Purdue</t>
  </si>
  <si>
    <t>LF</t>
  </si>
  <si>
    <t>Aglaia Rudd</t>
  </si>
  <si>
    <t>Robert Morris</t>
  </si>
  <si>
    <t>C</t>
  </si>
  <si>
    <t>Kaitlyn Terry</t>
  </si>
  <si>
    <t>Texas Tech</t>
  </si>
  <si>
    <t>RF</t>
  </si>
  <si>
    <t>Jordan Woolery</t>
  </si>
  <si>
    <t>UCLA</t>
  </si>
  <si>
    <t>SR</t>
  </si>
  <si>
    <t>1B</t>
  </si>
  <si>
    <t>Madison Clark</t>
  </si>
  <si>
    <t>Nevada</t>
  </si>
  <si>
    <t>Danielle Stewart</t>
  </si>
  <si>
    <t>Northern Illinois</t>
  </si>
  <si>
    <t>Katie Stewart</t>
  </si>
  <si>
    <t>Texas</t>
  </si>
  <si>
    <t>Sanaa Thompson</t>
  </si>
  <si>
    <t>North Carolina</t>
  </si>
  <si>
    <t>CF</t>
  </si>
  <si>
    <t>Rachel Carey</t>
  </si>
  <si>
    <t>Binghamton</t>
  </si>
  <si>
    <t>SO</t>
  </si>
  <si>
    <t>Cassidy Relay</t>
  </si>
  <si>
    <t>UNC Wilmington</t>
  </si>
  <si>
    <t>Kai Minor</t>
  </si>
  <si>
    <t>Oklahoma</t>
  </si>
  <si>
    <t>FR</t>
  </si>
  <si>
    <t>Delaney Smith</t>
  </si>
  <si>
    <t>Pennsylvania</t>
  </si>
  <si>
    <t>DH</t>
  </si>
  <si>
    <t>Skylar Benesh</t>
  </si>
  <si>
    <t>Northern Iowa</t>
  </si>
  <si>
    <t>Belle Hummel</t>
  </si>
  <si>
    <t>Ohio</t>
  </si>
  <si>
    <t>Emily LeGette</t>
  </si>
  <si>
    <t>Chelsea Mack</t>
  </si>
  <si>
    <t>Louisville</t>
  </si>
  <si>
    <t>Lauren Holt</t>
  </si>
  <si>
    <t>Cornell</t>
  </si>
  <si>
    <t>Megan Grant</t>
  </si>
  <si>
    <t>Aminah Vega</t>
  </si>
  <si>
    <t>Duke</t>
  </si>
  <si>
    <t>Kally Meredith</t>
  </si>
  <si>
    <t>Florida International</t>
  </si>
  <si>
    <t>Taylor Shumaker</t>
  </si>
  <si>
    <t>Florida</t>
  </si>
  <si>
    <t>Lauren Putz</t>
  </si>
  <si>
    <t>Michigan</t>
  </si>
  <si>
    <t>Lexi McDaniel</t>
  </si>
  <si>
    <t>Rylee Spindler</t>
  </si>
  <si>
    <t>Belmont</t>
  </si>
  <si>
    <t>Macyn Kirby</t>
  </si>
  <si>
    <t>Lipscomb</t>
  </si>
  <si>
    <t>Tarisa Frans</t>
  </si>
  <si>
    <t>Morgan Smith</t>
  </si>
  <si>
    <t>Prairie View</t>
  </si>
  <si>
    <t>Ella Parker</t>
  </si>
  <si>
    <t>Nicole Edmiaston</t>
  </si>
  <si>
    <t>Stetson</t>
  </si>
  <si>
    <t>Kendra Lewis</t>
  </si>
  <si>
    <t>James Madison</t>
  </si>
  <si>
    <t>Macee Eaton</t>
  </si>
  <si>
    <t>Virginia</t>
  </si>
  <si>
    <t>Sofia Zielinski</t>
  </si>
  <si>
    <t>Saint Francis (PA)</t>
  </si>
  <si>
    <t>Maya McPherson</t>
  </si>
  <si>
    <t>Western Carolina</t>
  </si>
  <si>
    <t>Mya Perez</t>
  </si>
  <si>
    <t>Texas A&amp;M</t>
  </si>
  <si>
    <t>DP</t>
  </si>
  <si>
    <t>Jackie Lis</t>
  </si>
  <si>
    <t>Makena Alexander</t>
  </si>
  <si>
    <t>Butler</t>
  </si>
  <si>
    <t>Kinley Pappas</t>
  </si>
  <si>
    <t>Utah Tech</t>
  </si>
  <si>
    <t>Rylee Slimp</t>
  </si>
  <si>
    <t>Jordy Frahm</t>
  </si>
  <si>
    <t>Nebraska</t>
  </si>
  <si>
    <t>Courtney Poulich</t>
  </si>
  <si>
    <t>Abby Dayton</t>
  </si>
  <si>
    <t>Maggie Murphy</t>
  </si>
  <si>
    <t>Oakland</t>
  </si>
  <si>
    <t>GR</t>
  </si>
  <si>
    <t>Avari Morris</t>
  </si>
  <si>
    <t>Seattle</t>
  </si>
  <si>
    <t>Katie Wetteland</t>
  </si>
  <si>
    <t>Kate Lappe</t>
  </si>
  <si>
    <t>Gigi Ganje</t>
  </si>
  <si>
    <t>Laila Clark</t>
  </si>
  <si>
    <t>Southern</t>
  </si>
  <si>
    <t>Sereniti Trice</t>
  </si>
  <si>
    <t>Arizona</t>
  </si>
  <si>
    <t>Jordan Lynch</t>
  </si>
  <si>
    <t>Virginia Tech</t>
  </si>
  <si>
    <t>Alexis Pupillo</t>
  </si>
  <si>
    <t>Alabama</t>
  </si>
  <si>
    <t>Mia Williams</t>
  </si>
  <si>
    <t>Jocelyn Erickson</t>
  </si>
  <si>
    <t>Maryn Jordan</t>
  </si>
  <si>
    <t>Howard</t>
  </si>
  <si>
    <t>Sophia Knight</t>
  </si>
  <si>
    <t>Tennessee</t>
  </si>
  <si>
    <t>Mihyia Davis</t>
  </si>
  <si>
    <t>Tatum Hall</t>
  </si>
  <si>
    <t>Utah Valley</t>
  </si>
  <si>
    <t>Amailee Morales</t>
  </si>
  <si>
    <t>Northern Colorado</t>
  </si>
  <si>
    <t>Jace Jackson</t>
  </si>
  <si>
    <t>Jackson State</t>
  </si>
  <si>
    <t>Ellie Vance</t>
  </si>
  <si>
    <t>Stephen F. Austin</t>
  </si>
  <si>
    <t>Jenna Lord</t>
  </si>
  <si>
    <t>Charlotte</t>
  </si>
  <si>
    <t>Victoria Altamirano</t>
  </si>
  <si>
    <t>Incarnate Word</t>
  </si>
  <si>
    <t>Sarah Beth Brake</t>
  </si>
  <si>
    <t>Jacksonville</t>
  </si>
  <si>
    <t>Kelly Fricker</t>
  </si>
  <si>
    <t>Lehigh</t>
  </si>
  <si>
    <t>Regan Shockey</t>
  </si>
  <si>
    <t>Tyler Ellison</t>
  </si>
  <si>
    <t>Georgia</t>
  </si>
  <si>
    <t>Kali Austerman</t>
  </si>
  <si>
    <t>Alabama A&amp;M</t>
  </si>
  <si>
    <t>D'Auna Jennings</t>
  </si>
  <si>
    <t>Reagan Bartholomew</t>
  </si>
  <si>
    <t>Iowa State</t>
  </si>
  <si>
    <t>Kennedy Powell</t>
  </si>
  <si>
    <t>Ailana Agbayani</t>
  </si>
  <si>
    <t>Sofia Vega</t>
  </si>
  <si>
    <t>Quinnipiac</t>
  </si>
  <si>
    <t>Aly VanBrandt</t>
  </si>
  <si>
    <t>Indiana</t>
  </si>
  <si>
    <t>Addison Lucier</t>
  </si>
  <si>
    <t>Wofford</t>
  </si>
  <si>
    <t>Britney Moreno</t>
  </si>
  <si>
    <t>Hannah Di Genova</t>
  </si>
  <si>
    <t>Grace Lawton</t>
  </si>
  <si>
    <t>Central Connecticut</t>
  </si>
  <si>
    <t>Sarah Gordon</t>
  </si>
  <si>
    <t>Keyannah Chavez</t>
  </si>
  <si>
    <t>UNLV</t>
  </si>
  <si>
    <t>Brooke Wells</t>
  </si>
  <si>
    <t>Graciela Dominguez</t>
  </si>
  <si>
    <t>Princeton</t>
  </si>
  <si>
    <t>Jade McQueen</t>
  </si>
  <si>
    <t>Texas Southern</t>
  </si>
  <si>
    <t>Jenna Blanton</t>
  </si>
  <si>
    <t>Western Kentucky</t>
  </si>
  <si>
    <t>Addison Foster</t>
  </si>
  <si>
    <t>Odyssey Torres</t>
  </si>
  <si>
    <t>Massachusetts</t>
  </si>
  <si>
    <t>Charlie Montgomery</t>
  </si>
  <si>
    <t>Campbell</t>
  </si>
  <si>
    <t>Justine Lambert</t>
  </si>
  <si>
    <t>Loyola Marymount</t>
  </si>
  <si>
    <t>Kaycie Burdick</t>
  </si>
  <si>
    <t>Washington</t>
  </si>
  <si>
    <t>Bailey Manos</t>
  </si>
  <si>
    <t>Miami, Ohio</t>
  </si>
  <si>
    <t>Kayden Henry</t>
  </si>
  <si>
    <t>Lily Yepez</t>
  </si>
  <si>
    <t>Hofstra</t>
  </si>
  <si>
    <t>Jolie Adams</t>
  </si>
  <si>
    <t>DePaul</t>
  </si>
  <si>
    <t>Kasidi Pickering</t>
  </si>
  <si>
    <t>Mary Brant</t>
  </si>
  <si>
    <t>Shelby Morris</t>
  </si>
  <si>
    <t>Southeastern Louisiana</t>
  </si>
  <si>
    <t>Dani Rauscher</t>
  </si>
  <si>
    <t>UC Santa Barbara</t>
  </si>
  <si>
    <t>Taylor Nicholson</t>
  </si>
  <si>
    <t>UMBC</t>
  </si>
  <si>
    <t>Annicka McLaughlin</t>
  </si>
  <si>
    <t>Gardner-Webb</t>
  </si>
  <si>
    <t>Nataly Lozano</t>
  </si>
  <si>
    <t>Cal State Fullerton</t>
  </si>
  <si>
    <t>Madison Pickens</t>
  </si>
  <si>
    <t>W</t>
  </si>
  <si>
    <t>L</t>
  </si>
  <si>
    <t>ERA</t>
  </si>
  <si>
    <t>APP</t>
  </si>
  <si>
    <t>GS</t>
  </si>
  <si>
    <t>CG</t>
  </si>
  <si>
    <t>SHO</t>
  </si>
  <si>
    <t>SV</t>
  </si>
  <si>
    <t>IP</t>
  </si>
  <si>
    <t>ER</t>
  </si>
  <si>
    <t>Maya Johnson</t>
  </si>
  <si>
    <t>Ella Cook</t>
  </si>
  <si>
    <t>St. Thomas</t>
  </si>
  <si>
    <t>Hannah Pitts</t>
  </si>
  <si>
    <t>Hawaii</t>
  </si>
  <si>
    <t>Kenzie Brown</t>
  </si>
  <si>
    <t>Arizona State</t>
  </si>
  <si>
    <t>Ainsley Lambert</t>
  </si>
  <si>
    <t>Florida Atlantic</t>
  </si>
  <si>
    <t>Alexis Wiggins</t>
  </si>
  <si>
    <t>Omaha</t>
  </si>
  <si>
    <t>Ava Metzger</t>
  </si>
  <si>
    <t>Marist</t>
  </si>
  <si>
    <t>Bailie Runner</t>
  </si>
  <si>
    <t>Central Arkansas</t>
  </si>
  <si>
    <t>Jessica Walter</t>
  </si>
  <si>
    <t>Connecticut</t>
  </si>
  <si>
    <t>Skipp Miller</t>
  </si>
  <si>
    <t>Abby Dunning</t>
  </si>
  <si>
    <t>Clemson</t>
  </si>
  <si>
    <t>Lauren Sackett</t>
  </si>
  <si>
    <t>Indiana State</t>
  </si>
  <si>
    <t>Elise Sokolsky</t>
  </si>
  <si>
    <t>Oregon</t>
  </si>
  <si>
    <t>Alissa Eimont</t>
  </si>
  <si>
    <t>Monmouth</t>
  </si>
  <si>
    <t>Sarah Haendiges</t>
  </si>
  <si>
    <t>Kentucky</t>
  </si>
  <si>
    <t>Kyra Pittman</t>
  </si>
  <si>
    <t>Pittsburgh</t>
  </si>
  <si>
    <t>Briana Bower</t>
  </si>
  <si>
    <t>Georgia State</t>
  </si>
  <si>
    <t>Lexie Delbrey</t>
  </si>
  <si>
    <t>Louisiana</t>
  </si>
  <si>
    <t>Anna Wischnowski</t>
  </si>
  <si>
    <t>Sage Hoover</t>
  </si>
  <si>
    <t>Brooke Bowling</t>
  </si>
  <si>
    <t>Claire Woods</t>
  </si>
  <si>
    <t>Delaware</t>
  </si>
  <si>
    <t>Alicia Flores</t>
  </si>
  <si>
    <t>Northern Kentucky</t>
  </si>
  <si>
    <t>Kennedy Kay</t>
  </si>
  <si>
    <t>Ohio State</t>
  </si>
  <si>
    <t>Paris Lehman</t>
  </si>
  <si>
    <t>Houston</t>
  </si>
  <si>
    <t>Arkansas</t>
  </si>
  <si>
    <t>Kansas</t>
  </si>
  <si>
    <t>Boston University</t>
  </si>
  <si>
    <t>Youngstown State</t>
  </si>
  <si>
    <t>Stanford</t>
  </si>
  <si>
    <t>Georgia Tech</t>
  </si>
  <si>
    <t>Troy</t>
  </si>
  <si>
    <t>USC Upstate</t>
  </si>
  <si>
    <t>UCF</t>
  </si>
  <si>
    <t>New Mexico State</t>
  </si>
  <si>
    <t>Grand Canyon</t>
  </si>
  <si>
    <t>Mississippi State</t>
  </si>
  <si>
    <t>UNC Greensboro</t>
  </si>
  <si>
    <t>Texas State</t>
  </si>
  <si>
    <t>LSU</t>
  </si>
  <si>
    <t>Sacramento State</t>
  </si>
  <si>
    <t>South Florida</t>
  </si>
  <si>
    <t>Utah</t>
  </si>
  <si>
    <t>UL Monroe</t>
  </si>
  <si>
    <t>Marshall</t>
  </si>
  <si>
    <t>North Florida</t>
  </si>
  <si>
    <t>Southern Illinois</t>
  </si>
  <si>
    <t>Siena</t>
  </si>
  <si>
    <t>Iona</t>
  </si>
  <si>
    <t>South Carolina</t>
  </si>
  <si>
    <t>South Alabama</t>
  </si>
  <si>
    <t>Oklahoma State</t>
  </si>
  <si>
    <t>California Baptist</t>
  </si>
  <si>
    <t>George Mason</t>
  </si>
  <si>
    <t>RPI</t>
  </si>
  <si>
    <t>Overall Record</t>
  </si>
  <si>
    <t>SOS</t>
  </si>
  <si>
    <t>RPI Change 1-Day</t>
  </si>
  <si>
    <t>RPI Change 7-Day</t>
  </si>
  <si>
    <t>Non-Conference Record</t>
  </si>
  <si>
    <t>Non-Conference RPI</t>
  </si>
  <si>
    <t>Non-Conference SOS</t>
  </si>
  <si>
    <t>Home Record</t>
  </si>
  <si>
    <t>Road Record</t>
  </si>
  <si>
    <t>Neutral</t>
  </si>
  <si>
    <t>Quad 1</t>
  </si>
  <si>
    <t>Quad 2</t>
  </si>
  <si>
    <t>Quad 3</t>
  </si>
  <si>
    <t>Quad 4</t>
  </si>
  <si>
    <t>35-6</t>
  </si>
  <si>
    <t>-</t>
  </si>
  <si>
    <t>25-1</t>
  </si>
  <si>
    <t>22-2</t>
  </si>
  <si>
    <t>11-0</t>
  </si>
  <si>
    <t>7-0</t>
  </si>
  <si>
    <t>33-6</t>
  </si>
  <si>
    <t>23-1</t>
  </si>
  <si>
    <t>18-3</t>
  </si>
  <si>
    <t>9-0</t>
  </si>
  <si>
    <t>3-0</t>
  </si>
  <si>
    <t>40-5</t>
  </si>
  <si>
    <t>26-1</t>
  </si>
  <si>
    <t>15-0</t>
  </si>
  <si>
    <t>8-0</t>
  </si>
  <si>
    <t>39-4</t>
  </si>
  <si>
    <t>27-1</t>
  </si>
  <si>
    <t>5-0</t>
  </si>
  <si>
    <t>13-1</t>
  </si>
  <si>
    <t>18-4</t>
  </si>
  <si>
    <t>12-0</t>
  </si>
  <si>
    <t>37-6</t>
  </si>
  <si>
    <t>25-0</t>
  </si>
  <si>
    <t>16-3</t>
  </si>
  <si>
    <t>13-0</t>
  </si>
  <si>
    <t>10-0</t>
  </si>
  <si>
    <t>40-4</t>
  </si>
  <si>
    <t>27-2</t>
  </si>
  <si>
    <t>19-0</t>
  </si>
  <si>
    <t>14-3</t>
  </si>
  <si>
    <t>38-5</t>
  </si>
  <si>
    <t>22-3</t>
  </si>
  <si>
    <t>15-3</t>
  </si>
  <si>
    <t>42-3</t>
  </si>
  <si>
    <t>15-1</t>
  </si>
  <si>
    <t>14-1</t>
  </si>
  <si>
    <t>2-0</t>
  </si>
  <si>
    <t>20-1</t>
  </si>
  <si>
    <t>6-0</t>
  </si>
  <si>
    <t>31-11</t>
  </si>
  <si>
    <t>22-5</t>
  </si>
  <si>
    <t>21-6</t>
  </si>
  <si>
    <t>34-11</t>
  </si>
  <si>
    <t>28-2</t>
  </si>
  <si>
    <t>18-6</t>
  </si>
  <si>
    <t>31-12</t>
  </si>
  <si>
    <t>16-9</t>
  </si>
  <si>
    <t>29-14</t>
  </si>
  <si>
    <t>23-5</t>
  </si>
  <si>
    <t>21-5</t>
  </si>
  <si>
    <t>32-9</t>
  </si>
  <si>
    <t>18-7</t>
  </si>
  <si>
    <t>14-2</t>
  </si>
  <si>
    <t>30-11</t>
  </si>
  <si>
    <t>19-7</t>
  </si>
  <si>
    <t>23-4</t>
  </si>
  <si>
    <t>4-0</t>
  </si>
  <si>
    <t>36-7</t>
  </si>
  <si>
    <t>24-4</t>
  </si>
  <si>
    <t>26-12</t>
  </si>
  <si>
    <t>13-6</t>
  </si>
  <si>
    <t>19-8</t>
  </si>
  <si>
    <t>0-0</t>
  </si>
  <si>
    <t>30-12</t>
  </si>
  <si>
    <t>17-3</t>
  </si>
  <si>
    <t>36-6</t>
  </si>
  <si>
    <t>25-2</t>
  </si>
  <si>
    <t>16-4</t>
  </si>
  <si>
    <t>Ole Miss</t>
  </si>
  <si>
    <t>27-18</t>
  </si>
  <si>
    <t>25-5</t>
  </si>
  <si>
    <t>27-11</t>
  </si>
  <si>
    <t>18-5</t>
  </si>
  <si>
    <t>32-11-1</t>
  </si>
  <si>
    <t>22-4</t>
  </si>
  <si>
    <t>21-7-1</t>
  </si>
  <si>
    <t>32-11</t>
  </si>
  <si>
    <t>19-9</t>
  </si>
  <si>
    <t>0-4</t>
  </si>
  <si>
    <t>19-4</t>
  </si>
  <si>
    <t>32-13</t>
  </si>
  <si>
    <t>27-3</t>
  </si>
  <si>
    <t>23-9</t>
  </si>
  <si>
    <t>33-8</t>
  </si>
  <si>
    <t>34-9</t>
  </si>
  <si>
    <t>18-8</t>
  </si>
  <si>
    <t>27-17</t>
  </si>
  <si>
    <t>14-8</t>
  </si>
  <si>
    <t>24-20</t>
  </si>
  <si>
    <t>21-8</t>
  </si>
  <si>
    <t>17-13</t>
  </si>
  <si>
    <t>Auburn</t>
  </si>
  <si>
    <t>23-19</t>
  </si>
  <si>
    <t>14-9</t>
  </si>
  <si>
    <t>41-5</t>
  </si>
  <si>
    <t>28-4</t>
  </si>
  <si>
    <t>0-3</t>
  </si>
  <si>
    <t>28-0</t>
  </si>
  <si>
    <t>18-9</t>
  </si>
  <si>
    <t>23-6</t>
  </si>
  <si>
    <t>39-10</t>
  </si>
  <si>
    <t>14-6</t>
  </si>
  <si>
    <t>16-2</t>
  </si>
  <si>
    <t>28-16</t>
  </si>
  <si>
    <t>19-10</t>
  </si>
  <si>
    <t>17-10</t>
  </si>
  <si>
    <t>27-15</t>
  </si>
  <si>
    <t>13-2</t>
  </si>
  <si>
    <t>Jacksonville State</t>
  </si>
  <si>
    <t>32-12</t>
  </si>
  <si>
    <t>16-10</t>
  </si>
  <si>
    <t>15-2</t>
  </si>
  <si>
    <t>23-10</t>
  </si>
  <si>
    <t>26-8</t>
  </si>
  <si>
    <t>0-1</t>
  </si>
  <si>
    <t>Wisconsin</t>
  </si>
  <si>
    <t>22-15</t>
  </si>
  <si>
    <t>15-6</t>
  </si>
  <si>
    <t>0-7</t>
  </si>
  <si>
    <t>Baylor</t>
  </si>
  <si>
    <t>24-18</t>
  </si>
  <si>
    <t>13-7</t>
  </si>
  <si>
    <t>32-10</t>
  </si>
  <si>
    <t>21-4</t>
  </si>
  <si>
    <t>13-3</t>
  </si>
  <si>
    <t>0-5</t>
  </si>
  <si>
    <t>29-12</t>
  </si>
  <si>
    <t>Missouri</t>
  </si>
  <si>
    <t>22-22</t>
  </si>
  <si>
    <t>16-13</t>
  </si>
  <si>
    <t>Northwestern</t>
  </si>
  <si>
    <t>20-19</t>
  </si>
  <si>
    <t>30-9</t>
  </si>
  <si>
    <t>26-19</t>
  </si>
  <si>
    <t>16-14</t>
  </si>
  <si>
    <t>McNeese</t>
  </si>
  <si>
    <t>28-18</t>
  </si>
  <si>
    <t>27-22</t>
  </si>
  <si>
    <t>19-12</t>
  </si>
  <si>
    <t>22-9</t>
  </si>
  <si>
    <t>26-15</t>
  </si>
  <si>
    <t>20-6</t>
  </si>
  <si>
    <t>25-22</t>
  </si>
  <si>
    <t>24-5</t>
  </si>
  <si>
    <t>30-14</t>
  </si>
  <si>
    <t>1-0</t>
  </si>
  <si>
    <t>28-13</t>
  </si>
  <si>
    <t>16-11</t>
  </si>
  <si>
    <t>26-16</t>
  </si>
  <si>
    <t>29-18</t>
  </si>
  <si>
    <t>18-14</t>
  </si>
  <si>
    <t>17-12</t>
  </si>
  <si>
    <t>NC State</t>
  </si>
  <si>
    <t>25-17</t>
  </si>
  <si>
    <t>0-10</t>
  </si>
  <si>
    <t>16-0</t>
  </si>
  <si>
    <t>28-15-1</t>
  </si>
  <si>
    <t>29-10</t>
  </si>
  <si>
    <t>17-4</t>
  </si>
  <si>
    <t>Wichita State</t>
  </si>
  <si>
    <t>24-15</t>
  </si>
  <si>
    <t>28-12</t>
  </si>
  <si>
    <t>34-12</t>
  </si>
  <si>
    <t>23-11</t>
  </si>
  <si>
    <t>31-15</t>
  </si>
  <si>
    <t>25-6</t>
  </si>
  <si>
    <t>20-7</t>
  </si>
  <si>
    <t>0-8</t>
  </si>
  <si>
    <t>Saint Mary’s</t>
  </si>
  <si>
    <t>25-11</t>
  </si>
  <si>
    <t>19-6</t>
  </si>
  <si>
    <t>0-2</t>
  </si>
  <si>
    <t>18-12</t>
  </si>
  <si>
    <t>13-5</t>
  </si>
  <si>
    <t>13-4</t>
  </si>
  <si>
    <t>Iowa</t>
  </si>
  <si>
    <t>22-20</t>
  </si>
  <si>
    <t>0-6</t>
  </si>
  <si>
    <t>Penn State</t>
  </si>
  <si>
    <t>15-4</t>
  </si>
  <si>
    <t>North Alabama</t>
  </si>
  <si>
    <t>17-7</t>
  </si>
  <si>
    <t>Liberty</t>
  </si>
  <si>
    <t>20-21</t>
  </si>
  <si>
    <t>Appalachian State</t>
  </si>
  <si>
    <t>25-16</t>
  </si>
  <si>
    <t>26-17</t>
  </si>
  <si>
    <t>15-13</t>
  </si>
  <si>
    <t>18-2</t>
  </si>
  <si>
    <t>26-13</t>
  </si>
  <si>
    <t>21-13</t>
  </si>
  <si>
    <t>20-4</t>
  </si>
  <si>
    <t>14-5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</si>
</sst>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-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5.13"/>
    <col customWidth="1" min="3" max="3" width="9.88"/>
    <col customWidth="1" min="4" max="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>
        <v>0.583</v>
      </c>
      <c r="F2" s="3">
        <v>0.64</v>
      </c>
      <c r="G2" s="3">
        <v>1.033</v>
      </c>
      <c r="H2" s="3">
        <v>1.674</v>
      </c>
      <c r="I2" s="3">
        <v>35.0</v>
      </c>
      <c r="J2" s="3">
        <v>139.0</v>
      </c>
      <c r="K2" s="3">
        <v>120.0</v>
      </c>
      <c r="L2" s="3">
        <v>49.0</v>
      </c>
      <c r="M2" s="3">
        <v>70.0</v>
      </c>
      <c r="N2" s="3">
        <v>14.0</v>
      </c>
      <c r="O2" s="3">
        <v>5.0</v>
      </c>
      <c r="P2" s="3">
        <v>10.0</v>
      </c>
      <c r="Q2" s="3">
        <v>42.0</v>
      </c>
      <c r="R2" s="3">
        <v>3.0</v>
      </c>
      <c r="S2" s="3">
        <v>16.0</v>
      </c>
      <c r="T2" s="3">
        <v>8.0</v>
      </c>
      <c r="U2" s="3">
        <v>11.0</v>
      </c>
      <c r="V2" s="3">
        <v>2.0</v>
      </c>
    </row>
    <row r="3">
      <c r="A3" s="3" t="s">
        <v>26</v>
      </c>
      <c r="B3" s="3" t="s">
        <v>27</v>
      </c>
      <c r="C3" s="3" t="s">
        <v>24</v>
      </c>
      <c r="D3" s="3" t="s">
        <v>28</v>
      </c>
      <c r="E3" s="3">
        <v>0.567</v>
      </c>
      <c r="F3" s="3">
        <v>0.586</v>
      </c>
      <c r="G3" s="3">
        <v>0.761</v>
      </c>
      <c r="H3" s="3">
        <v>1.347</v>
      </c>
      <c r="I3" s="3">
        <v>40.0</v>
      </c>
      <c r="J3" s="3">
        <v>142.0</v>
      </c>
      <c r="K3" s="3">
        <v>134.0</v>
      </c>
      <c r="L3" s="3">
        <v>48.0</v>
      </c>
      <c r="M3" s="3">
        <v>76.0</v>
      </c>
      <c r="N3" s="3">
        <v>11.0</v>
      </c>
      <c r="O3" s="3">
        <v>3.0</v>
      </c>
      <c r="P3" s="3">
        <v>3.0</v>
      </c>
      <c r="Q3" s="3">
        <v>40.0</v>
      </c>
      <c r="R3" s="3">
        <v>0.0</v>
      </c>
      <c r="S3" s="3">
        <v>6.0</v>
      </c>
      <c r="T3" s="3">
        <v>16.0</v>
      </c>
      <c r="U3" s="3">
        <v>18.0</v>
      </c>
      <c r="V3" s="3">
        <v>3.0</v>
      </c>
    </row>
    <row r="4">
      <c r="A4" s="3" t="s">
        <v>29</v>
      </c>
      <c r="B4" s="3" t="s">
        <v>30</v>
      </c>
      <c r="C4" s="3" t="s">
        <v>24</v>
      </c>
      <c r="D4" s="3" t="s">
        <v>31</v>
      </c>
      <c r="E4" s="3">
        <v>0.554</v>
      </c>
      <c r="F4" s="3">
        <v>0.589</v>
      </c>
      <c r="G4" s="3">
        <v>1.065</v>
      </c>
      <c r="H4" s="3">
        <v>1.654</v>
      </c>
      <c r="I4" s="3">
        <v>30.0</v>
      </c>
      <c r="J4" s="3">
        <v>107.0</v>
      </c>
      <c r="K4" s="3">
        <v>92.0</v>
      </c>
      <c r="L4" s="3">
        <v>34.0</v>
      </c>
      <c r="M4" s="3">
        <v>51.0</v>
      </c>
      <c r="N4" s="3">
        <v>11.0</v>
      </c>
      <c r="O4" s="3">
        <v>0.0</v>
      </c>
      <c r="P4" s="3">
        <v>12.0</v>
      </c>
      <c r="Q4" s="3">
        <v>37.0</v>
      </c>
      <c r="R4" s="3">
        <v>4.0</v>
      </c>
      <c r="S4" s="3">
        <v>8.0</v>
      </c>
      <c r="T4" s="3">
        <v>0.0</v>
      </c>
      <c r="U4" s="3">
        <v>4.0</v>
      </c>
      <c r="V4" s="3">
        <v>0.0</v>
      </c>
    </row>
    <row r="5">
      <c r="A5" s="3" t="s">
        <v>32</v>
      </c>
      <c r="B5" s="3" t="s">
        <v>33</v>
      </c>
      <c r="C5" s="3" t="s">
        <v>24</v>
      </c>
      <c r="D5" s="3" t="s">
        <v>34</v>
      </c>
      <c r="E5" s="3">
        <v>0.526</v>
      </c>
      <c r="F5" s="3">
        <v>0.608</v>
      </c>
      <c r="G5" s="3">
        <v>0.853</v>
      </c>
      <c r="H5" s="3">
        <v>1.462</v>
      </c>
      <c r="I5" s="3">
        <v>44.0</v>
      </c>
      <c r="J5" s="3">
        <v>148.0</v>
      </c>
      <c r="K5" s="3">
        <v>116.0</v>
      </c>
      <c r="L5" s="3">
        <v>48.0</v>
      </c>
      <c r="M5" s="3">
        <v>61.0</v>
      </c>
      <c r="N5" s="3">
        <v>10.0</v>
      </c>
      <c r="O5" s="3">
        <v>2.0</v>
      </c>
      <c r="P5" s="3">
        <v>8.0</v>
      </c>
      <c r="Q5" s="3">
        <v>45.0</v>
      </c>
      <c r="R5" s="3">
        <v>1.0</v>
      </c>
      <c r="S5" s="3">
        <v>28.0</v>
      </c>
      <c r="T5" s="3">
        <v>7.0</v>
      </c>
      <c r="U5" s="3">
        <v>8.0</v>
      </c>
      <c r="V5" s="3">
        <v>3.0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3">
        <v>0.516</v>
      </c>
      <c r="F6" s="3">
        <v>0.618</v>
      </c>
      <c r="G6" s="3">
        <v>1.227</v>
      </c>
      <c r="H6" s="3">
        <v>1.844</v>
      </c>
      <c r="I6" s="3">
        <v>43.0</v>
      </c>
      <c r="J6" s="3">
        <v>170.0</v>
      </c>
      <c r="K6" s="3">
        <v>128.0</v>
      </c>
      <c r="L6" s="3">
        <v>56.0</v>
      </c>
      <c r="M6" s="3">
        <v>66.0</v>
      </c>
      <c r="N6" s="3">
        <v>12.0</v>
      </c>
      <c r="O6" s="3">
        <v>2.0</v>
      </c>
      <c r="P6" s="3">
        <v>25.0</v>
      </c>
      <c r="Q6" s="3">
        <v>86.0</v>
      </c>
      <c r="R6" s="3">
        <v>4.0</v>
      </c>
      <c r="S6" s="3">
        <v>35.0</v>
      </c>
      <c r="T6" s="3">
        <v>10.0</v>
      </c>
      <c r="U6" s="3">
        <v>0.0</v>
      </c>
      <c r="V6" s="3">
        <v>0.0</v>
      </c>
    </row>
    <row r="7">
      <c r="A7" s="3" t="s">
        <v>39</v>
      </c>
      <c r="B7" s="3" t="s">
        <v>40</v>
      </c>
      <c r="C7" s="3" t="s">
        <v>24</v>
      </c>
      <c r="D7" s="3" t="s">
        <v>13</v>
      </c>
      <c r="E7" s="3">
        <v>0.5</v>
      </c>
      <c r="F7" s="3">
        <v>0.512</v>
      </c>
      <c r="G7" s="3">
        <v>0.636</v>
      </c>
      <c r="H7" s="3">
        <v>1.148</v>
      </c>
      <c r="I7" s="3">
        <v>43.0</v>
      </c>
      <c r="J7" s="3">
        <v>170.0</v>
      </c>
      <c r="K7" s="3">
        <v>162.0</v>
      </c>
      <c r="L7" s="3">
        <v>45.0</v>
      </c>
      <c r="M7" s="3">
        <v>81.0</v>
      </c>
      <c r="N7" s="3">
        <v>5.0</v>
      </c>
      <c r="O7" s="3">
        <v>7.0</v>
      </c>
      <c r="P7" s="3">
        <v>1.0</v>
      </c>
      <c r="Q7" s="3">
        <v>23.0</v>
      </c>
      <c r="R7" s="3">
        <v>1.0</v>
      </c>
      <c r="S7" s="3">
        <v>3.0</v>
      </c>
      <c r="T7" s="3">
        <v>11.0</v>
      </c>
      <c r="U7" s="3">
        <v>26.0</v>
      </c>
      <c r="V7" s="3">
        <v>1.0</v>
      </c>
    </row>
    <row r="8">
      <c r="A8" s="3" t="s">
        <v>41</v>
      </c>
      <c r="B8" s="3" t="s">
        <v>42</v>
      </c>
      <c r="C8" s="3" t="s">
        <v>37</v>
      </c>
      <c r="D8" s="3" t="s">
        <v>38</v>
      </c>
      <c r="E8" s="3">
        <v>0.5</v>
      </c>
      <c r="F8" s="3">
        <v>0.568</v>
      </c>
      <c r="G8" s="3">
        <v>0.819</v>
      </c>
      <c r="H8" s="3">
        <v>1.387</v>
      </c>
      <c r="I8" s="3">
        <v>31.0</v>
      </c>
      <c r="J8" s="3">
        <v>113.0</v>
      </c>
      <c r="K8" s="3">
        <v>94.0</v>
      </c>
      <c r="L8" s="3">
        <v>29.0</v>
      </c>
      <c r="M8" s="3">
        <v>47.0</v>
      </c>
      <c r="N8" s="3">
        <v>12.0</v>
      </c>
      <c r="O8" s="3">
        <v>0.0</v>
      </c>
      <c r="P8" s="3">
        <v>6.0</v>
      </c>
      <c r="Q8" s="3">
        <v>33.0</v>
      </c>
      <c r="R8" s="3">
        <v>0.0</v>
      </c>
      <c r="S8" s="3">
        <v>16.0</v>
      </c>
      <c r="T8" s="3">
        <v>6.0</v>
      </c>
      <c r="U8" s="3">
        <v>1.0</v>
      </c>
      <c r="V8" s="3">
        <v>0.0</v>
      </c>
    </row>
    <row r="9">
      <c r="A9" s="3" t="s">
        <v>43</v>
      </c>
      <c r="B9" s="3" t="s">
        <v>44</v>
      </c>
      <c r="C9" s="3" t="s">
        <v>24</v>
      </c>
      <c r="D9" s="3" t="s">
        <v>38</v>
      </c>
      <c r="E9" s="3">
        <v>0.49</v>
      </c>
      <c r="F9" s="3">
        <v>0.609</v>
      </c>
      <c r="G9" s="3">
        <v>1.163</v>
      </c>
      <c r="H9" s="3">
        <v>1.772</v>
      </c>
      <c r="I9" s="3">
        <v>39.0</v>
      </c>
      <c r="J9" s="3">
        <v>138.0</v>
      </c>
      <c r="K9" s="3">
        <v>104.0</v>
      </c>
      <c r="L9" s="3">
        <v>34.0</v>
      </c>
      <c r="M9" s="3">
        <v>51.0</v>
      </c>
      <c r="N9" s="3">
        <v>4.0</v>
      </c>
      <c r="O9" s="3">
        <v>0.0</v>
      </c>
      <c r="P9" s="3">
        <v>22.0</v>
      </c>
      <c r="Q9" s="3">
        <v>51.0</v>
      </c>
      <c r="R9" s="3">
        <v>5.0</v>
      </c>
      <c r="S9" s="3">
        <v>28.0</v>
      </c>
      <c r="T9" s="3">
        <v>20.0</v>
      </c>
      <c r="U9" s="3">
        <v>0.0</v>
      </c>
      <c r="V9" s="3">
        <v>1.0</v>
      </c>
    </row>
    <row r="10">
      <c r="A10" s="3" t="s">
        <v>45</v>
      </c>
      <c r="B10" s="3" t="s">
        <v>46</v>
      </c>
      <c r="C10" s="3" t="s">
        <v>24</v>
      </c>
      <c r="D10" s="3" t="s">
        <v>47</v>
      </c>
      <c r="E10" s="3">
        <v>0.49</v>
      </c>
      <c r="F10" s="3">
        <v>0.541</v>
      </c>
      <c r="G10" s="3">
        <v>0.817</v>
      </c>
      <c r="H10" s="3">
        <v>1.358</v>
      </c>
      <c r="I10" s="3">
        <v>42.0</v>
      </c>
      <c r="J10" s="3">
        <v>170.0</v>
      </c>
      <c r="K10" s="3">
        <v>153.0</v>
      </c>
      <c r="L10" s="3">
        <v>65.0</v>
      </c>
      <c r="M10" s="3">
        <v>75.0</v>
      </c>
      <c r="N10" s="3">
        <v>9.0</v>
      </c>
      <c r="O10" s="3">
        <v>1.0</v>
      </c>
      <c r="P10" s="3">
        <v>13.0</v>
      </c>
      <c r="Q10" s="3">
        <v>36.0</v>
      </c>
      <c r="R10" s="3">
        <v>1.0</v>
      </c>
      <c r="S10" s="3">
        <v>16.0</v>
      </c>
      <c r="T10" s="3">
        <v>7.0</v>
      </c>
      <c r="U10" s="3">
        <v>4.0</v>
      </c>
      <c r="V10" s="3">
        <v>0.0</v>
      </c>
    </row>
    <row r="11">
      <c r="A11" s="3" t="s">
        <v>48</v>
      </c>
      <c r="B11" s="3" t="s">
        <v>49</v>
      </c>
      <c r="C11" s="3" t="s">
        <v>50</v>
      </c>
      <c r="D11" s="3" t="s">
        <v>14</v>
      </c>
      <c r="E11" s="3">
        <v>0.49</v>
      </c>
      <c r="F11" s="3">
        <v>0.528</v>
      </c>
      <c r="G11" s="3">
        <v>0.816</v>
      </c>
      <c r="H11" s="3">
        <v>1.344</v>
      </c>
      <c r="I11" s="3">
        <v>30.0</v>
      </c>
      <c r="J11" s="3">
        <v>108.0</v>
      </c>
      <c r="K11" s="3">
        <v>98.0</v>
      </c>
      <c r="L11" s="3">
        <v>27.0</v>
      </c>
      <c r="M11" s="3">
        <v>48.0</v>
      </c>
      <c r="N11" s="3">
        <v>11.0</v>
      </c>
      <c r="O11" s="3">
        <v>0.0</v>
      </c>
      <c r="P11" s="3">
        <v>7.0</v>
      </c>
      <c r="Q11" s="3">
        <v>23.0</v>
      </c>
      <c r="R11" s="3">
        <v>0.0</v>
      </c>
      <c r="S11" s="3">
        <v>9.0</v>
      </c>
      <c r="T11" s="3">
        <v>10.0</v>
      </c>
      <c r="U11" s="3">
        <v>1.0</v>
      </c>
      <c r="V11" s="3">
        <v>0.0</v>
      </c>
    </row>
    <row r="12">
      <c r="A12" s="3" t="s">
        <v>51</v>
      </c>
      <c r="B12" s="3" t="s">
        <v>52</v>
      </c>
      <c r="C12" s="3" t="s">
        <v>24</v>
      </c>
      <c r="D12" s="3" t="s">
        <v>28</v>
      </c>
      <c r="E12" s="3">
        <v>0.487</v>
      </c>
      <c r="F12" s="3">
        <v>0.576</v>
      </c>
      <c r="G12" s="3">
        <v>0.496</v>
      </c>
      <c r="H12" s="3">
        <v>1.071</v>
      </c>
      <c r="I12" s="3">
        <v>39.0</v>
      </c>
      <c r="J12" s="3">
        <v>141.0</v>
      </c>
      <c r="K12" s="3">
        <v>115.0</v>
      </c>
      <c r="L12" s="3">
        <v>30.0</v>
      </c>
      <c r="M12" s="3">
        <v>56.0</v>
      </c>
      <c r="N12" s="3">
        <v>1.0</v>
      </c>
      <c r="O12" s="3">
        <v>0.0</v>
      </c>
      <c r="P12" s="3">
        <v>0.0</v>
      </c>
      <c r="Q12" s="3">
        <v>10.0</v>
      </c>
      <c r="R12" s="3">
        <v>0.0</v>
      </c>
      <c r="S12" s="3">
        <v>24.0</v>
      </c>
      <c r="T12" s="3">
        <v>14.0</v>
      </c>
      <c r="U12" s="3">
        <v>28.0</v>
      </c>
      <c r="V12" s="3">
        <v>3.0</v>
      </c>
    </row>
    <row r="13">
      <c r="A13" s="3" t="s">
        <v>53</v>
      </c>
      <c r="B13" s="3" t="s">
        <v>54</v>
      </c>
      <c r="C13" s="3" t="s">
        <v>55</v>
      </c>
      <c r="D13" s="3" t="s">
        <v>47</v>
      </c>
      <c r="E13" s="3">
        <v>0.484</v>
      </c>
      <c r="F13" s="3">
        <v>0.522</v>
      </c>
      <c r="G13" s="3">
        <v>0.742</v>
      </c>
      <c r="H13" s="3">
        <v>1.264</v>
      </c>
      <c r="I13" s="3">
        <v>42.0</v>
      </c>
      <c r="J13" s="3">
        <v>135.0</v>
      </c>
      <c r="K13" s="3">
        <v>124.0</v>
      </c>
      <c r="L13" s="3">
        <v>47.0</v>
      </c>
      <c r="M13" s="3">
        <v>60.0</v>
      </c>
      <c r="N13" s="3">
        <v>9.0</v>
      </c>
      <c r="O13" s="3">
        <v>4.0</v>
      </c>
      <c r="P13" s="3">
        <v>5.0</v>
      </c>
      <c r="Q13" s="3">
        <v>31.0</v>
      </c>
      <c r="R13" s="3">
        <v>1.0</v>
      </c>
      <c r="S13" s="3">
        <v>9.0</v>
      </c>
      <c r="T13" s="3">
        <v>10.0</v>
      </c>
      <c r="U13" s="3">
        <v>16.0</v>
      </c>
      <c r="V13" s="3">
        <v>3.0</v>
      </c>
    </row>
    <row r="14">
      <c r="A14" s="3" t="s">
        <v>56</v>
      </c>
      <c r="B14" s="3" t="s">
        <v>57</v>
      </c>
      <c r="C14" s="3" t="s">
        <v>37</v>
      </c>
      <c r="D14" s="3" t="s">
        <v>58</v>
      </c>
      <c r="E14" s="3">
        <v>0.48</v>
      </c>
      <c r="F14" s="3">
        <v>0.542</v>
      </c>
      <c r="G14" s="3">
        <v>0.725</v>
      </c>
      <c r="H14" s="3">
        <v>1.268</v>
      </c>
      <c r="I14" s="3">
        <v>34.0</v>
      </c>
      <c r="J14" s="3">
        <v>118.0</v>
      </c>
      <c r="K14" s="3">
        <v>102.0</v>
      </c>
      <c r="L14" s="3">
        <v>15.0</v>
      </c>
      <c r="M14" s="3">
        <v>49.0</v>
      </c>
      <c r="N14" s="3">
        <v>7.0</v>
      </c>
      <c r="O14" s="3">
        <v>0.0</v>
      </c>
      <c r="P14" s="3">
        <v>6.0</v>
      </c>
      <c r="Q14" s="3">
        <v>33.0</v>
      </c>
      <c r="R14" s="3">
        <v>3.0</v>
      </c>
      <c r="S14" s="3">
        <v>12.0</v>
      </c>
      <c r="T14" s="3">
        <v>10.0</v>
      </c>
      <c r="U14" s="3">
        <v>0.0</v>
      </c>
      <c r="V14" s="3">
        <v>1.0</v>
      </c>
    </row>
    <row r="15">
      <c r="A15" s="3" t="s">
        <v>59</v>
      </c>
      <c r="B15" s="3" t="s">
        <v>60</v>
      </c>
      <c r="C15" s="3" t="s">
        <v>50</v>
      </c>
      <c r="D15" s="3" t="s">
        <v>13</v>
      </c>
      <c r="E15" s="3">
        <v>0.478</v>
      </c>
      <c r="F15" s="3">
        <v>0.556</v>
      </c>
      <c r="G15" s="3">
        <v>0.888</v>
      </c>
      <c r="H15" s="3">
        <v>1.444</v>
      </c>
      <c r="I15" s="3">
        <v>38.0</v>
      </c>
      <c r="J15" s="3">
        <v>162.0</v>
      </c>
      <c r="K15" s="3">
        <v>134.0</v>
      </c>
      <c r="L15" s="3">
        <v>55.0</v>
      </c>
      <c r="M15" s="3">
        <v>64.0</v>
      </c>
      <c r="N15" s="3">
        <v>8.0</v>
      </c>
      <c r="O15" s="3">
        <v>1.0</v>
      </c>
      <c r="P15" s="3">
        <v>15.0</v>
      </c>
      <c r="Q15" s="3">
        <v>38.0</v>
      </c>
      <c r="R15" s="3">
        <v>0.0</v>
      </c>
      <c r="S15" s="3">
        <v>26.0</v>
      </c>
      <c r="T15" s="3">
        <v>17.0</v>
      </c>
      <c r="U15" s="3">
        <v>10.0</v>
      </c>
      <c r="V15" s="3">
        <v>3.0</v>
      </c>
    </row>
    <row r="16">
      <c r="A16" s="3" t="s">
        <v>61</v>
      </c>
      <c r="B16" s="3" t="s">
        <v>62</v>
      </c>
      <c r="C16" s="3" t="s">
        <v>37</v>
      </c>
      <c r="D16" s="3" t="s">
        <v>47</v>
      </c>
      <c r="E16" s="3">
        <v>0.476</v>
      </c>
      <c r="F16" s="3">
        <v>0.544</v>
      </c>
      <c r="G16" s="3">
        <v>0.687</v>
      </c>
      <c r="H16" s="3">
        <v>1.231</v>
      </c>
      <c r="I16" s="3">
        <v>43.0</v>
      </c>
      <c r="J16" s="3">
        <v>171.0</v>
      </c>
      <c r="K16" s="3">
        <v>147.0</v>
      </c>
      <c r="L16" s="3">
        <v>59.0</v>
      </c>
      <c r="M16" s="3">
        <v>70.0</v>
      </c>
      <c r="N16" s="3">
        <v>14.0</v>
      </c>
      <c r="O16" s="3">
        <v>1.0</v>
      </c>
      <c r="P16" s="3">
        <v>5.0</v>
      </c>
      <c r="Q16" s="3">
        <v>32.0</v>
      </c>
      <c r="R16" s="3">
        <v>1.0</v>
      </c>
      <c r="S16" s="3">
        <v>22.0</v>
      </c>
      <c r="T16" s="3">
        <v>14.0</v>
      </c>
      <c r="U16" s="3">
        <v>7.0</v>
      </c>
      <c r="V16" s="3">
        <v>2.0</v>
      </c>
    </row>
    <row r="17">
      <c r="A17" s="3" t="s">
        <v>63</v>
      </c>
      <c r="B17" s="3" t="s">
        <v>46</v>
      </c>
      <c r="C17" s="3" t="s">
        <v>24</v>
      </c>
      <c r="D17" s="3" t="s">
        <v>38</v>
      </c>
      <c r="E17" s="3">
        <v>0.474</v>
      </c>
      <c r="F17" s="3">
        <v>0.564</v>
      </c>
      <c r="G17" s="3">
        <v>1.112</v>
      </c>
      <c r="H17" s="3">
        <v>1.676</v>
      </c>
      <c r="I17" s="3">
        <v>42.0</v>
      </c>
      <c r="J17" s="3">
        <v>156.0</v>
      </c>
      <c r="K17" s="3">
        <v>116.0</v>
      </c>
      <c r="L17" s="3">
        <v>43.0</v>
      </c>
      <c r="M17" s="3">
        <v>55.0</v>
      </c>
      <c r="N17" s="3">
        <v>6.0</v>
      </c>
      <c r="O17" s="3">
        <v>1.0</v>
      </c>
      <c r="P17" s="3">
        <v>22.0</v>
      </c>
      <c r="Q17" s="3">
        <v>67.0</v>
      </c>
      <c r="R17" s="3">
        <v>0.0</v>
      </c>
      <c r="S17" s="3">
        <v>33.0</v>
      </c>
      <c r="T17" s="3">
        <v>14.0</v>
      </c>
      <c r="U17" s="3">
        <v>5.0</v>
      </c>
      <c r="V17" s="3">
        <v>0.0</v>
      </c>
    </row>
    <row r="18">
      <c r="A18" s="3" t="s">
        <v>64</v>
      </c>
      <c r="B18" s="3" t="s">
        <v>65</v>
      </c>
      <c r="C18" s="3" t="s">
        <v>37</v>
      </c>
      <c r="D18" s="3" t="s">
        <v>47</v>
      </c>
      <c r="E18" s="3">
        <v>0.473</v>
      </c>
      <c r="F18" s="3">
        <v>0.521</v>
      </c>
      <c r="G18" s="3">
        <v>0.534</v>
      </c>
      <c r="H18" s="3">
        <v>1.056</v>
      </c>
      <c r="I18" s="3">
        <v>43.0</v>
      </c>
      <c r="J18" s="3">
        <v>172.0</v>
      </c>
      <c r="K18" s="3">
        <v>146.0</v>
      </c>
      <c r="L18" s="3">
        <v>49.0</v>
      </c>
      <c r="M18" s="3">
        <v>69.0</v>
      </c>
      <c r="N18" s="3">
        <v>2.0</v>
      </c>
      <c r="O18" s="3">
        <v>2.0</v>
      </c>
      <c r="P18" s="3">
        <v>1.0</v>
      </c>
      <c r="Q18" s="3">
        <v>17.0</v>
      </c>
      <c r="R18" s="3">
        <v>0.0</v>
      </c>
      <c r="S18" s="3">
        <v>16.0</v>
      </c>
      <c r="T18" s="3">
        <v>5.0</v>
      </c>
      <c r="U18" s="3">
        <v>35.0</v>
      </c>
      <c r="V18" s="3">
        <v>4.0</v>
      </c>
    </row>
    <row r="19">
      <c r="A19" s="3" t="s">
        <v>66</v>
      </c>
      <c r="B19" s="3" t="s">
        <v>67</v>
      </c>
      <c r="C19" s="3" t="s">
        <v>37</v>
      </c>
      <c r="D19" s="3" t="s">
        <v>31</v>
      </c>
      <c r="E19" s="3">
        <v>0.472</v>
      </c>
      <c r="F19" s="3">
        <v>0.577</v>
      </c>
      <c r="G19" s="3">
        <v>1.019</v>
      </c>
      <c r="H19" s="3">
        <v>1.595</v>
      </c>
      <c r="I19" s="3">
        <v>35.0</v>
      </c>
      <c r="J19" s="3">
        <v>137.0</v>
      </c>
      <c r="K19" s="3">
        <v>108.0</v>
      </c>
      <c r="L19" s="3">
        <v>40.0</v>
      </c>
      <c r="M19" s="3">
        <v>51.0</v>
      </c>
      <c r="N19" s="3">
        <v>9.0</v>
      </c>
      <c r="O19" s="3">
        <v>1.0</v>
      </c>
      <c r="P19" s="3">
        <v>16.0</v>
      </c>
      <c r="Q19" s="3">
        <v>56.0</v>
      </c>
      <c r="R19" s="3">
        <v>1.0</v>
      </c>
      <c r="S19" s="3">
        <v>27.0</v>
      </c>
      <c r="T19" s="3">
        <v>7.0</v>
      </c>
      <c r="U19" s="3">
        <v>11.0</v>
      </c>
      <c r="V19" s="3">
        <v>2.0</v>
      </c>
    </row>
    <row r="20">
      <c r="A20" s="3" t="s">
        <v>68</v>
      </c>
      <c r="B20" s="3" t="s">
        <v>36</v>
      </c>
      <c r="C20" s="3" t="s">
        <v>37</v>
      </c>
      <c r="D20" s="3" t="s">
        <v>34</v>
      </c>
      <c r="E20" s="3">
        <v>0.472</v>
      </c>
      <c r="F20" s="3">
        <v>0.645</v>
      </c>
      <c r="G20" s="3">
        <v>1.324</v>
      </c>
      <c r="H20" s="3">
        <v>1.969</v>
      </c>
      <c r="I20" s="3">
        <v>43.0</v>
      </c>
      <c r="J20" s="3">
        <v>172.0</v>
      </c>
      <c r="K20" s="3">
        <v>108.0</v>
      </c>
      <c r="L20" s="3">
        <v>61.0</v>
      </c>
      <c r="M20" s="3">
        <v>51.0</v>
      </c>
      <c r="N20" s="3">
        <v>5.0</v>
      </c>
      <c r="O20" s="3">
        <v>0.0</v>
      </c>
      <c r="P20" s="3">
        <v>29.0</v>
      </c>
      <c r="Q20" s="3">
        <v>64.0</v>
      </c>
      <c r="R20" s="3">
        <v>12.0</v>
      </c>
      <c r="S20" s="3">
        <v>48.0</v>
      </c>
      <c r="T20" s="3">
        <v>10.0</v>
      </c>
      <c r="U20" s="3">
        <v>0.0</v>
      </c>
      <c r="V20" s="3">
        <v>0.0</v>
      </c>
    </row>
    <row r="21">
      <c r="A21" s="3" t="s">
        <v>69</v>
      </c>
      <c r="B21" s="3" t="s">
        <v>70</v>
      </c>
      <c r="C21" s="3" t="s">
        <v>37</v>
      </c>
      <c r="D21" s="3" t="s">
        <v>13</v>
      </c>
      <c r="E21" s="3">
        <v>0.471</v>
      </c>
      <c r="F21" s="3">
        <v>0.538</v>
      </c>
      <c r="G21" s="3">
        <v>0.95</v>
      </c>
      <c r="H21" s="3">
        <v>1.488</v>
      </c>
      <c r="I21" s="3">
        <v>43.0</v>
      </c>
      <c r="J21" s="3">
        <v>171.0</v>
      </c>
      <c r="K21" s="3">
        <v>140.0</v>
      </c>
      <c r="L21" s="3">
        <v>65.0</v>
      </c>
      <c r="M21" s="3">
        <v>66.0</v>
      </c>
      <c r="N21" s="3">
        <v>18.0</v>
      </c>
      <c r="O21" s="3">
        <v>5.0</v>
      </c>
      <c r="P21" s="3">
        <v>13.0</v>
      </c>
      <c r="Q21" s="3">
        <v>46.0</v>
      </c>
      <c r="R21" s="3">
        <v>1.0</v>
      </c>
      <c r="S21" s="3">
        <v>25.0</v>
      </c>
      <c r="T21" s="3">
        <v>10.0</v>
      </c>
      <c r="U21" s="3">
        <v>6.0</v>
      </c>
      <c r="V21" s="3">
        <v>0.0</v>
      </c>
    </row>
    <row r="22">
      <c r="A22" s="3" t="s">
        <v>71</v>
      </c>
      <c r="B22" s="3" t="s">
        <v>72</v>
      </c>
      <c r="C22" s="3" t="s">
        <v>24</v>
      </c>
      <c r="D22" s="3" t="s">
        <v>47</v>
      </c>
      <c r="E22" s="3">
        <v>0.471</v>
      </c>
      <c r="F22" s="3">
        <v>0.507</v>
      </c>
      <c r="G22" s="3">
        <v>0.565</v>
      </c>
      <c r="H22" s="3">
        <v>1.072</v>
      </c>
      <c r="I22" s="3">
        <v>41.0</v>
      </c>
      <c r="J22" s="3">
        <v>154.0</v>
      </c>
      <c r="K22" s="3">
        <v>138.0</v>
      </c>
      <c r="L22" s="3">
        <v>42.0</v>
      </c>
      <c r="M22" s="3">
        <v>65.0</v>
      </c>
      <c r="N22" s="3">
        <v>2.0</v>
      </c>
      <c r="O22" s="3">
        <v>4.0</v>
      </c>
      <c r="P22" s="3">
        <v>1.0</v>
      </c>
      <c r="Q22" s="3">
        <v>14.0</v>
      </c>
      <c r="R22" s="3">
        <v>1.0</v>
      </c>
      <c r="S22" s="3">
        <v>10.0</v>
      </c>
      <c r="T22" s="3">
        <v>11.0</v>
      </c>
      <c r="U22" s="3">
        <v>20.0</v>
      </c>
      <c r="V22" s="3">
        <v>5.0</v>
      </c>
    </row>
    <row r="23">
      <c r="A23" s="3" t="s">
        <v>73</v>
      </c>
      <c r="B23" s="3" t="s">
        <v>74</v>
      </c>
      <c r="C23" s="3" t="s">
        <v>50</v>
      </c>
      <c r="D23" s="3" t="s">
        <v>34</v>
      </c>
      <c r="E23" s="3">
        <v>0.467</v>
      </c>
      <c r="F23" s="3">
        <v>0.553</v>
      </c>
      <c r="G23" s="3">
        <v>0.813</v>
      </c>
      <c r="H23" s="3">
        <v>1.367</v>
      </c>
      <c r="I23" s="3">
        <v>45.0</v>
      </c>
      <c r="J23" s="3">
        <v>188.0</v>
      </c>
      <c r="K23" s="3">
        <v>150.0</v>
      </c>
      <c r="L23" s="3">
        <v>67.0</v>
      </c>
      <c r="M23" s="3">
        <v>70.0</v>
      </c>
      <c r="N23" s="3">
        <v>13.0</v>
      </c>
      <c r="O23" s="3">
        <v>0.0</v>
      </c>
      <c r="P23" s="3">
        <v>13.0</v>
      </c>
      <c r="Q23" s="3">
        <v>46.0</v>
      </c>
      <c r="R23" s="3">
        <v>2.0</v>
      </c>
      <c r="S23" s="3">
        <v>32.0</v>
      </c>
      <c r="T23" s="3">
        <v>20.0</v>
      </c>
      <c r="U23" s="3">
        <v>9.0</v>
      </c>
      <c r="V23" s="3">
        <v>0.0</v>
      </c>
    </row>
    <row r="24">
      <c r="A24" s="3" t="s">
        <v>75</v>
      </c>
      <c r="B24" s="3" t="s">
        <v>76</v>
      </c>
      <c r="C24" s="3" t="s">
        <v>50</v>
      </c>
      <c r="D24" s="3" t="s">
        <v>34</v>
      </c>
      <c r="E24" s="3">
        <v>0.467</v>
      </c>
      <c r="F24" s="3">
        <v>0.568</v>
      </c>
      <c r="G24" s="3">
        <v>1.0</v>
      </c>
      <c r="H24" s="3">
        <v>1.568</v>
      </c>
      <c r="I24" s="3">
        <v>42.0</v>
      </c>
      <c r="J24" s="3">
        <v>155.0</v>
      </c>
      <c r="K24" s="3">
        <v>120.0</v>
      </c>
      <c r="L24" s="3">
        <v>45.0</v>
      </c>
      <c r="M24" s="3">
        <v>56.0</v>
      </c>
      <c r="N24" s="3">
        <v>14.0</v>
      </c>
      <c r="O24" s="3">
        <v>1.0</v>
      </c>
      <c r="P24" s="3">
        <v>16.0</v>
      </c>
      <c r="Q24" s="3">
        <v>65.0</v>
      </c>
      <c r="R24" s="3">
        <v>0.0</v>
      </c>
      <c r="S24" s="3">
        <v>32.0</v>
      </c>
      <c r="T24" s="3">
        <v>24.0</v>
      </c>
      <c r="U24" s="3">
        <v>9.0</v>
      </c>
      <c r="V24" s="3">
        <v>1.0</v>
      </c>
    </row>
    <row r="25">
      <c r="A25" s="3" t="s">
        <v>77</v>
      </c>
      <c r="B25" s="3" t="s">
        <v>54</v>
      </c>
      <c r="C25" s="3" t="s">
        <v>55</v>
      </c>
      <c r="D25" s="3" t="s">
        <v>38</v>
      </c>
      <c r="E25" s="3">
        <v>0.465</v>
      </c>
      <c r="F25" s="3">
        <v>0.513</v>
      </c>
      <c r="G25" s="3">
        <v>0.873</v>
      </c>
      <c r="H25" s="3">
        <v>1.386</v>
      </c>
      <c r="I25" s="3">
        <v>38.0</v>
      </c>
      <c r="J25" s="3">
        <v>78.0</v>
      </c>
      <c r="K25" s="3">
        <v>71.0</v>
      </c>
      <c r="L25" s="3">
        <v>25.0</v>
      </c>
      <c r="M25" s="3">
        <v>33.0</v>
      </c>
      <c r="N25" s="3">
        <v>2.0</v>
      </c>
      <c r="O25" s="3">
        <v>0.0</v>
      </c>
      <c r="P25" s="3">
        <v>9.0</v>
      </c>
      <c r="Q25" s="3">
        <v>28.0</v>
      </c>
      <c r="R25" s="3">
        <v>0.0</v>
      </c>
      <c r="S25" s="3">
        <v>7.0</v>
      </c>
      <c r="T25" s="3">
        <v>7.0</v>
      </c>
      <c r="U25" s="3">
        <v>1.0</v>
      </c>
      <c r="V25" s="3">
        <v>0.0</v>
      </c>
    </row>
    <row r="26">
      <c r="A26" s="3" t="s">
        <v>78</v>
      </c>
      <c r="B26" s="3" t="s">
        <v>79</v>
      </c>
      <c r="C26" s="3" t="s">
        <v>50</v>
      </c>
      <c r="D26" s="3" t="s">
        <v>14</v>
      </c>
      <c r="E26" s="3">
        <v>0.464</v>
      </c>
      <c r="F26" s="3">
        <v>0.524</v>
      </c>
      <c r="G26" s="3">
        <v>0.696</v>
      </c>
      <c r="H26" s="3">
        <v>1.22</v>
      </c>
      <c r="I26" s="3">
        <v>39.0</v>
      </c>
      <c r="J26" s="3">
        <v>143.0</v>
      </c>
      <c r="K26" s="3">
        <v>125.0</v>
      </c>
      <c r="L26" s="3">
        <v>33.0</v>
      </c>
      <c r="M26" s="3">
        <v>58.0</v>
      </c>
      <c r="N26" s="3">
        <v>12.0</v>
      </c>
      <c r="O26" s="3">
        <v>4.0</v>
      </c>
      <c r="P26" s="3">
        <v>3.0</v>
      </c>
      <c r="Q26" s="3">
        <v>30.0</v>
      </c>
      <c r="R26" s="3">
        <v>2.0</v>
      </c>
      <c r="S26" s="3">
        <v>15.0</v>
      </c>
      <c r="T26" s="3">
        <v>10.0</v>
      </c>
      <c r="U26" s="3">
        <v>3.0</v>
      </c>
      <c r="V26" s="3">
        <v>1.0</v>
      </c>
    </row>
    <row r="27">
      <c r="A27" s="3" t="s">
        <v>80</v>
      </c>
      <c r="B27" s="3" t="s">
        <v>81</v>
      </c>
      <c r="C27" s="3" t="s">
        <v>24</v>
      </c>
      <c r="D27" s="3" t="s">
        <v>34</v>
      </c>
      <c r="E27" s="3">
        <v>0.463</v>
      </c>
      <c r="F27" s="3">
        <v>0.467</v>
      </c>
      <c r="G27" s="3">
        <v>0.488</v>
      </c>
      <c r="H27" s="3">
        <v>0.955</v>
      </c>
      <c r="I27" s="3">
        <v>41.0</v>
      </c>
      <c r="J27" s="3">
        <v>128.0</v>
      </c>
      <c r="K27" s="3">
        <v>121.0</v>
      </c>
      <c r="L27" s="3">
        <v>11.0</v>
      </c>
      <c r="M27" s="3">
        <v>56.0</v>
      </c>
      <c r="N27" s="3">
        <v>3.0</v>
      </c>
      <c r="O27" s="3">
        <v>0.0</v>
      </c>
      <c r="P27" s="3">
        <v>0.0</v>
      </c>
      <c r="Q27" s="3">
        <v>10.0</v>
      </c>
      <c r="R27" s="3">
        <v>0.0</v>
      </c>
      <c r="S27" s="3">
        <v>1.0</v>
      </c>
      <c r="T27" s="3">
        <v>9.0</v>
      </c>
      <c r="U27" s="3">
        <v>6.0</v>
      </c>
      <c r="V27" s="3">
        <v>0.0</v>
      </c>
    </row>
    <row r="28">
      <c r="A28" s="3" t="s">
        <v>82</v>
      </c>
      <c r="B28" s="3" t="s">
        <v>67</v>
      </c>
      <c r="C28" s="3" t="s">
        <v>55</v>
      </c>
      <c r="D28" s="3" t="s">
        <v>28</v>
      </c>
      <c r="E28" s="3">
        <v>0.462</v>
      </c>
      <c r="F28" s="3">
        <v>0.517</v>
      </c>
      <c r="G28" s="3">
        <v>0.567</v>
      </c>
      <c r="H28" s="3">
        <v>1.084</v>
      </c>
      <c r="I28" s="3">
        <v>32.0</v>
      </c>
      <c r="J28" s="3">
        <v>120.0</v>
      </c>
      <c r="K28" s="3">
        <v>104.0</v>
      </c>
      <c r="L28" s="3">
        <v>36.0</v>
      </c>
      <c r="M28" s="3">
        <v>48.0</v>
      </c>
      <c r="N28" s="3">
        <v>6.0</v>
      </c>
      <c r="O28" s="3">
        <v>1.0</v>
      </c>
      <c r="P28" s="3">
        <v>1.0</v>
      </c>
      <c r="Q28" s="3">
        <v>24.0</v>
      </c>
      <c r="R28" s="3">
        <v>1.0</v>
      </c>
      <c r="S28" s="3">
        <v>13.0</v>
      </c>
      <c r="T28" s="3">
        <v>10.0</v>
      </c>
      <c r="U28" s="3">
        <v>8.0</v>
      </c>
      <c r="V28" s="3">
        <v>1.0</v>
      </c>
    </row>
    <row r="29">
      <c r="A29" s="3" t="s">
        <v>83</v>
      </c>
      <c r="B29" s="3" t="s">
        <v>84</v>
      </c>
      <c r="C29" s="3" t="s">
        <v>55</v>
      </c>
      <c r="D29" s="3" t="s">
        <v>38</v>
      </c>
      <c r="E29" s="3">
        <v>0.462</v>
      </c>
      <c r="F29" s="3">
        <v>0.585</v>
      </c>
      <c r="G29" s="3">
        <v>0.615</v>
      </c>
      <c r="H29" s="3">
        <v>1.2</v>
      </c>
      <c r="I29" s="3">
        <v>29.0</v>
      </c>
      <c r="J29" s="3">
        <v>94.0</v>
      </c>
      <c r="K29" s="3">
        <v>65.0</v>
      </c>
      <c r="L29" s="3">
        <v>22.0</v>
      </c>
      <c r="M29" s="3">
        <v>30.0</v>
      </c>
      <c r="N29" s="3">
        <v>4.0</v>
      </c>
      <c r="O29" s="3">
        <v>3.0</v>
      </c>
      <c r="P29" s="3">
        <v>0.0</v>
      </c>
      <c r="Q29" s="3">
        <v>19.0</v>
      </c>
      <c r="R29" s="3">
        <v>2.0</v>
      </c>
      <c r="S29" s="3">
        <v>23.0</v>
      </c>
      <c r="T29" s="3">
        <v>9.0</v>
      </c>
      <c r="U29" s="3">
        <v>15.0</v>
      </c>
      <c r="V29" s="3">
        <v>2.0</v>
      </c>
    </row>
    <row r="30">
      <c r="A30" s="3" t="s">
        <v>85</v>
      </c>
      <c r="B30" s="3" t="s">
        <v>54</v>
      </c>
      <c r="C30" s="3" t="s">
        <v>24</v>
      </c>
      <c r="D30" s="3" t="s">
        <v>34</v>
      </c>
      <c r="E30" s="3">
        <v>0.46</v>
      </c>
      <c r="F30" s="3">
        <v>0.576</v>
      </c>
      <c r="G30" s="3">
        <v>1.027</v>
      </c>
      <c r="H30" s="3">
        <v>1.603</v>
      </c>
      <c r="I30" s="3">
        <v>42.0</v>
      </c>
      <c r="J30" s="3">
        <v>151.0</v>
      </c>
      <c r="K30" s="3">
        <v>113.0</v>
      </c>
      <c r="L30" s="3">
        <v>44.0</v>
      </c>
      <c r="M30" s="3">
        <v>52.0</v>
      </c>
      <c r="N30" s="3">
        <v>10.0</v>
      </c>
      <c r="O30" s="3">
        <v>0.0</v>
      </c>
      <c r="P30" s="3">
        <v>18.0</v>
      </c>
      <c r="Q30" s="3">
        <v>53.0</v>
      </c>
      <c r="R30" s="3">
        <v>5.0</v>
      </c>
      <c r="S30" s="3">
        <v>30.0</v>
      </c>
      <c r="T30" s="3">
        <v>13.0</v>
      </c>
      <c r="U30" s="3">
        <v>5.0</v>
      </c>
      <c r="V30" s="3">
        <v>2.0</v>
      </c>
    </row>
    <row r="31">
      <c r="A31" s="3" t="s">
        <v>86</v>
      </c>
      <c r="B31" s="3" t="s">
        <v>87</v>
      </c>
      <c r="C31" s="3" t="s">
        <v>24</v>
      </c>
      <c r="D31" s="3" t="s">
        <v>38</v>
      </c>
      <c r="E31" s="3">
        <v>0.46</v>
      </c>
      <c r="F31" s="3">
        <v>0.54</v>
      </c>
      <c r="G31" s="3">
        <v>0.968</v>
      </c>
      <c r="H31" s="3">
        <v>1.508</v>
      </c>
      <c r="I31" s="3">
        <v>41.0</v>
      </c>
      <c r="J31" s="3">
        <v>150.0</v>
      </c>
      <c r="K31" s="3">
        <v>126.0</v>
      </c>
      <c r="L31" s="3">
        <v>39.0</v>
      </c>
      <c r="M31" s="3">
        <v>58.0</v>
      </c>
      <c r="N31" s="3">
        <v>7.0</v>
      </c>
      <c r="O31" s="3">
        <v>0.0</v>
      </c>
      <c r="P31" s="3">
        <v>19.0</v>
      </c>
      <c r="Q31" s="3">
        <v>58.0</v>
      </c>
      <c r="R31" s="3">
        <v>2.0</v>
      </c>
      <c r="S31" s="3">
        <v>21.0</v>
      </c>
      <c r="T31" s="3">
        <v>8.0</v>
      </c>
      <c r="U31" s="3">
        <v>0.0</v>
      </c>
      <c r="V31" s="3">
        <v>0.0</v>
      </c>
    </row>
    <row r="32">
      <c r="A32" s="3" t="s">
        <v>88</v>
      </c>
      <c r="B32" s="3" t="s">
        <v>89</v>
      </c>
      <c r="C32" s="3" t="s">
        <v>24</v>
      </c>
      <c r="D32" s="3" t="s">
        <v>14</v>
      </c>
      <c r="E32" s="3">
        <v>0.458</v>
      </c>
      <c r="F32" s="3">
        <v>0.571</v>
      </c>
      <c r="G32" s="3">
        <v>0.952</v>
      </c>
      <c r="H32" s="3">
        <v>1.523</v>
      </c>
      <c r="I32" s="3">
        <v>37.0</v>
      </c>
      <c r="J32" s="3">
        <v>109.0</v>
      </c>
      <c r="K32" s="3">
        <v>83.0</v>
      </c>
      <c r="L32" s="3">
        <v>23.0</v>
      </c>
      <c r="M32" s="3">
        <v>38.0</v>
      </c>
      <c r="N32" s="3">
        <v>11.0</v>
      </c>
      <c r="O32" s="3">
        <v>0.0</v>
      </c>
      <c r="P32" s="3">
        <v>10.0</v>
      </c>
      <c r="Q32" s="3">
        <v>32.0</v>
      </c>
      <c r="R32" s="3">
        <v>4.0</v>
      </c>
      <c r="S32" s="3">
        <v>18.0</v>
      </c>
      <c r="T32" s="3">
        <v>14.0</v>
      </c>
      <c r="U32" s="3">
        <v>2.0</v>
      </c>
      <c r="V32" s="3">
        <v>0.0</v>
      </c>
    </row>
    <row r="33">
      <c r="A33" s="3" t="s">
        <v>90</v>
      </c>
      <c r="B33" s="3" t="s">
        <v>91</v>
      </c>
      <c r="C33" s="3" t="s">
        <v>24</v>
      </c>
      <c r="D33" s="3" t="s">
        <v>38</v>
      </c>
      <c r="E33" s="3">
        <v>0.455</v>
      </c>
      <c r="F33" s="3">
        <v>0.5</v>
      </c>
      <c r="G33" s="3">
        <v>0.799</v>
      </c>
      <c r="H33" s="3">
        <v>1.299</v>
      </c>
      <c r="I33" s="3">
        <v>41.0</v>
      </c>
      <c r="J33" s="3">
        <v>150.0</v>
      </c>
      <c r="K33" s="3">
        <v>134.0</v>
      </c>
      <c r="L33" s="3">
        <v>32.0</v>
      </c>
      <c r="M33" s="3">
        <v>61.0</v>
      </c>
      <c r="N33" s="3">
        <v>14.0</v>
      </c>
      <c r="O33" s="3">
        <v>1.0</v>
      </c>
      <c r="P33" s="3">
        <v>10.0</v>
      </c>
      <c r="Q33" s="3">
        <v>55.0</v>
      </c>
      <c r="R33" s="3">
        <v>1.0</v>
      </c>
      <c r="S33" s="3">
        <v>13.0</v>
      </c>
      <c r="T33" s="3">
        <v>8.0</v>
      </c>
      <c r="U33" s="3">
        <v>3.0</v>
      </c>
      <c r="V33" s="3">
        <v>1.0</v>
      </c>
    </row>
    <row r="34">
      <c r="A34" s="3" t="s">
        <v>92</v>
      </c>
      <c r="B34" s="3" t="s">
        <v>93</v>
      </c>
      <c r="C34" s="3" t="s">
        <v>50</v>
      </c>
      <c r="D34" s="3" t="s">
        <v>38</v>
      </c>
      <c r="E34" s="3">
        <v>0.455</v>
      </c>
      <c r="F34" s="3">
        <v>0.509</v>
      </c>
      <c r="G34" s="3">
        <v>0.832</v>
      </c>
      <c r="H34" s="3">
        <v>1.34</v>
      </c>
      <c r="I34" s="3">
        <v>32.0</v>
      </c>
      <c r="J34" s="3">
        <v>114.0</v>
      </c>
      <c r="K34" s="3">
        <v>101.0</v>
      </c>
      <c r="L34" s="3">
        <v>27.0</v>
      </c>
      <c r="M34" s="3">
        <v>46.0</v>
      </c>
      <c r="N34" s="3">
        <v>4.0</v>
      </c>
      <c r="O34" s="3">
        <v>2.0</v>
      </c>
      <c r="P34" s="3">
        <v>10.0</v>
      </c>
      <c r="Q34" s="3">
        <v>33.0</v>
      </c>
      <c r="R34" s="3">
        <v>4.0</v>
      </c>
      <c r="S34" s="3">
        <v>8.0</v>
      </c>
      <c r="T34" s="3">
        <v>15.0</v>
      </c>
      <c r="U34" s="3">
        <v>1.0</v>
      </c>
      <c r="V34" s="3">
        <v>0.0</v>
      </c>
    </row>
    <row r="35">
      <c r="A35" s="3" t="s">
        <v>94</v>
      </c>
      <c r="B35" s="3" t="s">
        <v>95</v>
      </c>
      <c r="C35" s="3" t="s">
        <v>24</v>
      </c>
      <c r="D35" s="3" t="s">
        <v>14</v>
      </c>
      <c r="E35" s="3">
        <v>0.453</v>
      </c>
      <c r="F35" s="3">
        <v>0.478</v>
      </c>
      <c r="G35" s="3">
        <v>0.872</v>
      </c>
      <c r="H35" s="3">
        <v>1.35</v>
      </c>
      <c r="I35" s="3">
        <v>44.0</v>
      </c>
      <c r="J35" s="3">
        <v>162.0</v>
      </c>
      <c r="K35" s="3">
        <v>148.0</v>
      </c>
      <c r="L35" s="3">
        <v>38.0</v>
      </c>
      <c r="M35" s="3">
        <v>67.0</v>
      </c>
      <c r="N35" s="3">
        <v>12.0</v>
      </c>
      <c r="O35" s="3">
        <v>1.0</v>
      </c>
      <c r="P35" s="3">
        <v>16.0</v>
      </c>
      <c r="Q35" s="3">
        <v>55.0</v>
      </c>
      <c r="R35" s="3">
        <v>4.0</v>
      </c>
      <c r="S35" s="3">
        <v>6.0</v>
      </c>
      <c r="T35" s="3">
        <v>17.0</v>
      </c>
      <c r="U35" s="3">
        <v>7.0</v>
      </c>
      <c r="V35" s="3">
        <v>0.0</v>
      </c>
    </row>
    <row r="36">
      <c r="A36" s="3" t="s">
        <v>96</v>
      </c>
      <c r="B36" s="3" t="s">
        <v>97</v>
      </c>
      <c r="C36" s="3" t="s">
        <v>24</v>
      </c>
      <c r="D36" s="3" t="s">
        <v>98</v>
      </c>
      <c r="E36" s="3">
        <v>0.453</v>
      </c>
      <c r="F36" s="3">
        <v>0.618</v>
      </c>
      <c r="G36" s="3">
        <v>0.934</v>
      </c>
      <c r="H36" s="3">
        <v>1.552</v>
      </c>
      <c r="I36" s="3">
        <v>42.0</v>
      </c>
      <c r="J36" s="3">
        <v>157.0</v>
      </c>
      <c r="K36" s="3">
        <v>106.0</v>
      </c>
      <c r="L36" s="3">
        <v>32.0</v>
      </c>
      <c r="M36" s="3">
        <v>48.0</v>
      </c>
      <c r="N36" s="3">
        <v>9.0</v>
      </c>
      <c r="O36" s="3">
        <v>0.0</v>
      </c>
      <c r="P36" s="3">
        <v>14.0</v>
      </c>
      <c r="Q36" s="3">
        <v>42.0</v>
      </c>
      <c r="R36" s="3">
        <v>8.0</v>
      </c>
      <c r="S36" s="3">
        <v>41.0</v>
      </c>
      <c r="T36" s="3">
        <v>9.0</v>
      </c>
      <c r="U36" s="3">
        <v>0.0</v>
      </c>
      <c r="V36" s="3">
        <v>0.0</v>
      </c>
    </row>
    <row r="37">
      <c r="A37" s="3" t="s">
        <v>99</v>
      </c>
      <c r="B37" s="3" t="s">
        <v>33</v>
      </c>
      <c r="C37" s="3" t="s">
        <v>37</v>
      </c>
      <c r="D37" s="3" t="s">
        <v>38</v>
      </c>
      <c r="E37" s="3">
        <v>0.452</v>
      </c>
      <c r="F37" s="3">
        <v>0.535</v>
      </c>
      <c r="G37" s="3">
        <v>0.962</v>
      </c>
      <c r="H37" s="3">
        <v>1.496</v>
      </c>
      <c r="I37" s="3">
        <v>43.0</v>
      </c>
      <c r="J37" s="3">
        <v>129.0</v>
      </c>
      <c r="K37" s="3">
        <v>104.0</v>
      </c>
      <c r="L37" s="3">
        <v>36.0</v>
      </c>
      <c r="M37" s="3">
        <v>47.0</v>
      </c>
      <c r="N37" s="3">
        <v>7.0</v>
      </c>
      <c r="O37" s="3">
        <v>2.0</v>
      </c>
      <c r="P37" s="3">
        <v>14.0</v>
      </c>
      <c r="Q37" s="3">
        <v>48.0</v>
      </c>
      <c r="R37" s="3">
        <v>0.0</v>
      </c>
      <c r="S37" s="3">
        <v>22.0</v>
      </c>
      <c r="T37" s="3">
        <v>6.0</v>
      </c>
      <c r="U37" s="3">
        <v>2.0</v>
      </c>
      <c r="V37" s="3">
        <v>1.0</v>
      </c>
    </row>
    <row r="38">
      <c r="A38" s="3" t="s">
        <v>100</v>
      </c>
      <c r="B38" s="3" t="s">
        <v>101</v>
      </c>
      <c r="C38" s="3" t="s">
        <v>24</v>
      </c>
      <c r="D38" s="3" t="s">
        <v>38</v>
      </c>
      <c r="E38" s="3">
        <v>0.452</v>
      </c>
      <c r="F38" s="3">
        <v>0.561</v>
      </c>
      <c r="G38" s="3">
        <v>0.914</v>
      </c>
      <c r="H38" s="3">
        <v>1.475</v>
      </c>
      <c r="I38" s="3">
        <v>33.0</v>
      </c>
      <c r="J38" s="3">
        <v>125.0</v>
      </c>
      <c r="K38" s="3">
        <v>93.0</v>
      </c>
      <c r="L38" s="3">
        <v>23.0</v>
      </c>
      <c r="M38" s="3">
        <v>42.0</v>
      </c>
      <c r="N38" s="3">
        <v>8.0</v>
      </c>
      <c r="O38" s="3">
        <v>1.0</v>
      </c>
      <c r="P38" s="3">
        <v>11.0</v>
      </c>
      <c r="Q38" s="3">
        <v>46.0</v>
      </c>
      <c r="R38" s="3">
        <v>0.0</v>
      </c>
      <c r="S38" s="3">
        <v>27.0</v>
      </c>
      <c r="T38" s="3">
        <v>13.0</v>
      </c>
      <c r="U38" s="3">
        <v>1.0</v>
      </c>
      <c r="V38" s="3">
        <v>0.0</v>
      </c>
    </row>
    <row r="39">
      <c r="A39" s="3" t="s">
        <v>102</v>
      </c>
      <c r="B39" s="3" t="s">
        <v>103</v>
      </c>
      <c r="C39" s="3" t="s">
        <v>50</v>
      </c>
      <c r="D39" s="3" t="s">
        <v>38</v>
      </c>
      <c r="E39" s="3">
        <v>0.452</v>
      </c>
      <c r="F39" s="3">
        <v>0.503</v>
      </c>
      <c r="G39" s="3">
        <v>0.857</v>
      </c>
      <c r="H39" s="3">
        <v>1.361</v>
      </c>
      <c r="I39" s="3">
        <v>41.0</v>
      </c>
      <c r="J39" s="3">
        <v>146.0</v>
      </c>
      <c r="K39" s="3">
        <v>126.0</v>
      </c>
      <c r="L39" s="3">
        <v>40.0</v>
      </c>
      <c r="M39" s="3">
        <v>57.0</v>
      </c>
      <c r="N39" s="3">
        <v>17.0</v>
      </c>
      <c r="O39" s="3">
        <v>5.0</v>
      </c>
      <c r="P39" s="3">
        <v>8.0</v>
      </c>
      <c r="Q39" s="3">
        <v>42.0</v>
      </c>
      <c r="R39" s="3">
        <v>2.0</v>
      </c>
      <c r="S39" s="3">
        <v>14.0</v>
      </c>
      <c r="T39" s="3">
        <v>18.0</v>
      </c>
      <c r="U39" s="3">
        <v>11.0</v>
      </c>
      <c r="V39" s="3">
        <v>1.0</v>
      </c>
    </row>
    <row r="40">
      <c r="A40" s="3" t="s">
        <v>104</v>
      </c>
      <c r="B40" s="3" t="s">
        <v>36</v>
      </c>
      <c r="C40" s="3" t="s">
        <v>50</v>
      </c>
      <c r="D40" s="3" t="s">
        <v>28</v>
      </c>
      <c r="E40" s="3">
        <v>0.452</v>
      </c>
      <c r="F40" s="3">
        <v>0.561</v>
      </c>
      <c r="G40" s="3">
        <v>0.748</v>
      </c>
      <c r="H40" s="3">
        <v>1.31</v>
      </c>
      <c r="I40" s="3">
        <v>43.0</v>
      </c>
      <c r="J40" s="3">
        <v>171.0</v>
      </c>
      <c r="K40" s="3">
        <v>135.0</v>
      </c>
      <c r="L40" s="3">
        <v>69.0</v>
      </c>
      <c r="M40" s="3">
        <v>61.0</v>
      </c>
      <c r="N40" s="3">
        <v>10.0</v>
      </c>
      <c r="O40" s="3">
        <v>3.0</v>
      </c>
      <c r="P40" s="3">
        <v>8.0</v>
      </c>
      <c r="Q40" s="3">
        <v>34.0</v>
      </c>
      <c r="R40" s="3">
        <v>13.0</v>
      </c>
      <c r="S40" s="3">
        <v>22.0</v>
      </c>
      <c r="T40" s="3">
        <v>13.0</v>
      </c>
      <c r="U40" s="3">
        <v>3.0</v>
      </c>
      <c r="V40" s="3">
        <v>0.0</v>
      </c>
    </row>
    <row r="41">
      <c r="A41" s="3" t="s">
        <v>105</v>
      </c>
      <c r="B41" s="3" t="s">
        <v>106</v>
      </c>
      <c r="C41" s="3" t="s">
        <v>37</v>
      </c>
      <c r="D41" s="3" t="s">
        <v>38</v>
      </c>
      <c r="E41" s="3">
        <v>0.451</v>
      </c>
      <c r="F41" s="3">
        <v>0.556</v>
      </c>
      <c r="G41" s="3">
        <v>0.951</v>
      </c>
      <c r="H41" s="3">
        <v>1.506</v>
      </c>
      <c r="I41" s="3">
        <v>38.0</v>
      </c>
      <c r="J41" s="3">
        <v>153.0</v>
      </c>
      <c r="K41" s="3">
        <v>122.0</v>
      </c>
      <c r="L41" s="3">
        <v>41.0</v>
      </c>
      <c r="M41" s="3">
        <v>55.0</v>
      </c>
      <c r="N41" s="3">
        <v>8.0</v>
      </c>
      <c r="O41" s="3">
        <v>4.0</v>
      </c>
      <c r="P41" s="3">
        <v>15.0</v>
      </c>
      <c r="Q41" s="3">
        <v>39.0</v>
      </c>
      <c r="R41" s="3">
        <v>8.0</v>
      </c>
      <c r="S41" s="3">
        <v>22.0</v>
      </c>
      <c r="T41" s="3">
        <v>20.0</v>
      </c>
      <c r="U41" s="3">
        <v>6.0</v>
      </c>
      <c r="V41" s="3">
        <v>1.0</v>
      </c>
    </row>
    <row r="42">
      <c r="A42" s="3" t="s">
        <v>107</v>
      </c>
      <c r="B42" s="3" t="s">
        <v>30</v>
      </c>
      <c r="C42" s="3" t="s">
        <v>37</v>
      </c>
      <c r="D42" s="3" t="s">
        <v>98</v>
      </c>
      <c r="E42" s="3">
        <v>0.45</v>
      </c>
      <c r="F42" s="3">
        <v>0.548</v>
      </c>
      <c r="G42" s="3">
        <v>1.06</v>
      </c>
      <c r="H42" s="3">
        <v>1.608</v>
      </c>
      <c r="I42" s="3">
        <v>32.0</v>
      </c>
      <c r="J42" s="3">
        <v>126.0</v>
      </c>
      <c r="K42" s="3">
        <v>100.0</v>
      </c>
      <c r="L42" s="3">
        <v>53.0</v>
      </c>
      <c r="M42" s="3">
        <v>45.0</v>
      </c>
      <c r="N42" s="3">
        <v>7.0</v>
      </c>
      <c r="O42" s="3">
        <v>0.0</v>
      </c>
      <c r="P42" s="3">
        <v>18.0</v>
      </c>
      <c r="Q42" s="3">
        <v>56.0</v>
      </c>
      <c r="R42" s="3">
        <v>9.0</v>
      </c>
      <c r="S42" s="3">
        <v>15.0</v>
      </c>
      <c r="T42" s="3">
        <v>16.0</v>
      </c>
      <c r="U42" s="3">
        <v>3.0</v>
      </c>
      <c r="V42" s="3">
        <v>1.0</v>
      </c>
    </row>
    <row r="43">
      <c r="A43" s="3" t="s">
        <v>108</v>
      </c>
      <c r="B43" s="3" t="s">
        <v>54</v>
      </c>
      <c r="C43" s="3" t="s">
        <v>37</v>
      </c>
      <c r="D43" s="3" t="s">
        <v>28</v>
      </c>
      <c r="E43" s="3">
        <v>0.448</v>
      </c>
      <c r="F43" s="3">
        <v>0.553</v>
      </c>
      <c r="G43" s="3">
        <v>0.805</v>
      </c>
      <c r="H43" s="3">
        <v>1.357</v>
      </c>
      <c r="I43" s="3">
        <v>43.0</v>
      </c>
      <c r="J43" s="3">
        <v>115.0</v>
      </c>
      <c r="K43" s="3">
        <v>87.0</v>
      </c>
      <c r="L43" s="3">
        <v>43.0</v>
      </c>
      <c r="M43" s="3">
        <v>39.0</v>
      </c>
      <c r="N43" s="3">
        <v>11.0</v>
      </c>
      <c r="O43" s="3">
        <v>1.0</v>
      </c>
      <c r="P43" s="3">
        <v>6.0</v>
      </c>
      <c r="Q43" s="3">
        <v>35.0</v>
      </c>
      <c r="R43" s="3">
        <v>3.0</v>
      </c>
      <c r="S43" s="3">
        <v>21.0</v>
      </c>
      <c r="T43" s="3">
        <v>1.0</v>
      </c>
      <c r="U43" s="3">
        <v>6.0</v>
      </c>
      <c r="V43" s="3">
        <v>0.0</v>
      </c>
    </row>
    <row r="44">
      <c r="A44" s="3" t="s">
        <v>109</v>
      </c>
      <c r="B44" s="3" t="s">
        <v>110</v>
      </c>
      <c r="C44" s="3" t="s">
        <v>111</v>
      </c>
      <c r="D44" s="3" t="s">
        <v>98</v>
      </c>
      <c r="E44" s="3">
        <v>0.446</v>
      </c>
      <c r="F44" s="3">
        <v>0.506</v>
      </c>
      <c r="G44" s="3">
        <v>0.878</v>
      </c>
      <c r="H44" s="3">
        <v>1.384</v>
      </c>
      <c r="I44" s="3">
        <v>27.0</v>
      </c>
      <c r="J44" s="3">
        <v>85.0</v>
      </c>
      <c r="K44" s="3">
        <v>74.0</v>
      </c>
      <c r="L44" s="3">
        <v>12.0</v>
      </c>
      <c r="M44" s="3">
        <v>33.0</v>
      </c>
      <c r="N44" s="3">
        <v>9.0</v>
      </c>
      <c r="O44" s="3">
        <v>4.0</v>
      </c>
      <c r="P44" s="3">
        <v>5.0</v>
      </c>
      <c r="Q44" s="3">
        <v>25.0</v>
      </c>
      <c r="R44" s="3">
        <v>0.0</v>
      </c>
      <c r="S44" s="3">
        <v>10.0</v>
      </c>
      <c r="T44" s="3">
        <v>5.0</v>
      </c>
      <c r="U44" s="3">
        <v>3.0</v>
      </c>
      <c r="V44" s="3">
        <v>0.0</v>
      </c>
    </row>
    <row r="45">
      <c r="A45" s="3" t="s">
        <v>112</v>
      </c>
      <c r="B45" s="3" t="s">
        <v>113</v>
      </c>
      <c r="C45" s="3" t="s">
        <v>24</v>
      </c>
      <c r="D45" s="3" t="s">
        <v>28</v>
      </c>
      <c r="E45" s="3">
        <v>0.446</v>
      </c>
      <c r="F45" s="3">
        <v>0.5</v>
      </c>
      <c r="G45" s="3">
        <v>0.626</v>
      </c>
      <c r="H45" s="3">
        <v>1.126</v>
      </c>
      <c r="I45" s="3">
        <v>39.0</v>
      </c>
      <c r="J45" s="3">
        <v>154.0</v>
      </c>
      <c r="K45" s="3">
        <v>139.0</v>
      </c>
      <c r="L45" s="3">
        <v>40.0</v>
      </c>
      <c r="M45" s="3">
        <v>62.0</v>
      </c>
      <c r="N45" s="3">
        <v>13.0</v>
      </c>
      <c r="O45" s="3">
        <v>3.0</v>
      </c>
      <c r="P45" s="3">
        <v>2.0</v>
      </c>
      <c r="Q45" s="3">
        <v>21.0</v>
      </c>
      <c r="R45" s="3">
        <v>0.0</v>
      </c>
      <c r="S45" s="3">
        <v>15.0</v>
      </c>
      <c r="T45" s="3">
        <v>11.0</v>
      </c>
      <c r="U45" s="3">
        <v>6.0</v>
      </c>
      <c r="V45" s="3">
        <v>1.0</v>
      </c>
    </row>
    <row r="46">
      <c r="A46" s="3" t="s">
        <v>114</v>
      </c>
      <c r="B46" s="3" t="s">
        <v>40</v>
      </c>
      <c r="C46" s="3" t="s">
        <v>55</v>
      </c>
      <c r="D46" s="3" t="s">
        <v>14</v>
      </c>
      <c r="E46" s="3">
        <v>0.446</v>
      </c>
      <c r="F46" s="3">
        <v>0.538</v>
      </c>
      <c r="G46" s="3">
        <v>0.76</v>
      </c>
      <c r="H46" s="3">
        <v>1.298</v>
      </c>
      <c r="I46" s="3">
        <v>38.0</v>
      </c>
      <c r="J46" s="3">
        <v>145.0</v>
      </c>
      <c r="K46" s="3">
        <v>121.0</v>
      </c>
      <c r="L46" s="3">
        <v>39.0</v>
      </c>
      <c r="M46" s="3">
        <v>54.0</v>
      </c>
      <c r="N46" s="3">
        <v>9.0</v>
      </c>
      <c r="O46" s="3">
        <v>4.0</v>
      </c>
      <c r="P46" s="3">
        <v>7.0</v>
      </c>
      <c r="Q46" s="3">
        <v>39.0</v>
      </c>
      <c r="R46" s="3">
        <v>6.0</v>
      </c>
      <c r="S46" s="3">
        <v>18.0</v>
      </c>
      <c r="T46" s="3">
        <v>14.0</v>
      </c>
      <c r="U46" s="3">
        <v>5.0</v>
      </c>
      <c r="V46" s="3">
        <v>0.0</v>
      </c>
    </row>
    <row r="47">
      <c r="A47" s="3" t="s">
        <v>115</v>
      </c>
      <c r="B47" s="3" t="s">
        <v>60</v>
      </c>
      <c r="C47" s="3" t="s">
        <v>37</v>
      </c>
      <c r="D47" s="3" t="s">
        <v>14</v>
      </c>
      <c r="E47" s="3">
        <v>0.445</v>
      </c>
      <c r="F47" s="3">
        <v>0.588</v>
      </c>
      <c r="G47" s="3">
        <v>1.009</v>
      </c>
      <c r="H47" s="3">
        <v>1.597</v>
      </c>
      <c r="I47" s="3">
        <v>38.0</v>
      </c>
      <c r="J47" s="3">
        <v>153.0</v>
      </c>
      <c r="K47" s="3">
        <v>110.0</v>
      </c>
      <c r="L47" s="3">
        <v>45.0</v>
      </c>
      <c r="M47" s="3">
        <v>49.0</v>
      </c>
      <c r="N47" s="3">
        <v>12.0</v>
      </c>
      <c r="O47" s="3">
        <v>1.0</v>
      </c>
      <c r="P47" s="3">
        <v>16.0</v>
      </c>
      <c r="Q47" s="3">
        <v>45.0</v>
      </c>
      <c r="R47" s="3">
        <v>1.0</v>
      </c>
      <c r="S47" s="3">
        <v>40.0</v>
      </c>
      <c r="T47" s="3">
        <v>35.0</v>
      </c>
      <c r="U47" s="3">
        <v>1.0</v>
      </c>
      <c r="V47" s="3">
        <v>0.0</v>
      </c>
    </row>
    <row r="48">
      <c r="A48" s="3" t="s">
        <v>116</v>
      </c>
      <c r="B48" s="3" t="s">
        <v>57</v>
      </c>
      <c r="C48" s="3" t="s">
        <v>50</v>
      </c>
      <c r="D48" s="3" t="s">
        <v>47</v>
      </c>
      <c r="E48" s="3">
        <v>0.445</v>
      </c>
      <c r="F48" s="3">
        <v>0.534</v>
      </c>
      <c r="G48" s="3">
        <v>1.009</v>
      </c>
      <c r="H48" s="3">
        <v>1.543</v>
      </c>
      <c r="I48" s="3">
        <v>34.0</v>
      </c>
      <c r="J48" s="3">
        <v>133.0</v>
      </c>
      <c r="K48" s="3">
        <v>110.0</v>
      </c>
      <c r="L48" s="3">
        <v>41.0</v>
      </c>
      <c r="M48" s="3">
        <v>49.0</v>
      </c>
      <c r="N48" s="3">
        <v>13.0</v>
      </c>
      <c r="O48" s="3">
        <v>2.0</v>
      </c>
      <c r="P48" s="3">
        <v>15.0</v>
      </c>
      <c r="Q48" s="3">
        <v>34.0</v>
      </c>
      <c r="R48" s="3">
        <v>0.0</v>
      </c>
      <c r="S48" s="3">
        <v>22.0</v>
      </c>
      <c r="T48" s="3">
        <v>9.0</v>
      </c>
      <c r="U48" s="3">
        <v>10.0</v>
      </c>
      <c r="V48" s="3">
        <v>2.0</v>
      </c>
    </row>
    <row r="49">
      <c r="A49" s="3" t="s">
        <v>117</v>
      </c>
      <c r="B49" s="3" t="s">
        <v>118</v>
      </c>
      <c r="C49" s="3" t="s">
        <v>50</v>
      </c>
      <c r="D49" s="3" t="s">
        <v>34</v>
      </c>
      <c r="E49" s="3">
        <v>0.444</v>
      </c>
      <c r="F49" s="3">
        <v>0.471</v>
      </c>
      <c r="G49" s="3">
        <v>0.824</v>
      </c>
      <c r="H49" s="3">
        <v>1.295</v>
      </c>
      <c r="I49" s="3">
        <v>37.0</v>
      </c>
      <c r="J49" s="3">
        <v>121.0</v>
      </c>
      <c r="K49" s="3">
        <v>108.0</v>
      </c>
      <c r="L49" s="3">
        <v>32.0</v>
      </c>
      <c r="M49" s="3">
        <v>48.0</v>
      </c>
      <c r="N49" s="3">
        <v>10.0</v>
      </c>
      <c r="O49" s="3">
        <v>2.0</v>
      </c>
      <c r="P49" s="3">
        <v>9.0</v>
      </c>
      <c r="Q49" s="3">
        <v>44.0</v>
      </c>
      <c r="R49" s="3">
        <v>1.0</v>
      </c>
      <c r="S49" s="3">
        <v>8.0</v>
      </c>
      <c r="T49" s="3">
        <v>6.0</v>
      </c>
      <c r="U49" s="3">
        <v>16.0</v>
      </c>
      <c r="V49" s="3">
        <v>0.0</v>
      </c>
    </row>
    <row r="50">
      <c r="A50" s="3" t="s">
        <v>119</v>
      </c>
      <c r="B50" s="3" t="s">
        <v>120</v>
      </c>
      <c r="C50" s="3" t="s">
        <v>50</v>
      </c>
      <c r="D50" s="3" t="s">
        <v>13</v>
      </c>
      <c r="E50" s="3">
        <v>0.444</v>
      </c>
      <c r="F50" s="3">
        <v>0.481</v>
      </c>
      <c r="G50" s="3">
        <v>0.571</v>
      </c>
      <c r="H50" s="3">
        <v>1.053</v>
      </c>
      <c r="I50" s="3">
        <v>38.0</v>
      </c>
      <c r="J50" s="3">
        <v>139.0</v>
      </c>
      <c r="K50" s="3">
        <v>126.0</v>
      </c>
      <c r="L50" s="3">
        <v>46.0</v>
      </c>
      <c r="M50" s="3">
        <v>56.0</v>
      </c>
      <c r="N50" s="3">
        <v>5.0</v>
      </c>
      <c r="O50" s="3">
        <v>4.0</v>
      </c>
      <c r="P50" s="3">
        <v>1.0</v>
      </c>
      <c r="Q50" s="3">
        <v>25.0</v>
      </c>
      <c r="R50" s="3">
        <v>1.0</v>
      </c>
      <c r="S50" s="3">
        <v>8.0</v>
      </c>
      <c r="T50" s="3">
        <v>13.0</v>
      </c>
      <c r="U50" s="3">
        <v>7.0</v>
      </c>
      <c r="V50" s="3">
        <v>1.0</v>
      </c>
    </row>
    <row r="51">
      <c r="A51" s="3" t="s">
        <v>121</v>
      </c>
      <c r="B51" s="3" t="s">
        <v>122</v>
      </c>
      <c r="C51" s="3" t="s">
        <v>50</v>
      </c>
      <c r="D51" s="3" t="s">
        <v>14</v>
      </c>
      <c r="E51" s="3">
        <v>0.444</v>
      </c>
      <c r="F51" s="3">
        <v>0.5</v>
      </c>
      <c r="G51" s="3">
        <v>0.859</v>
      </c>
      <c r="H51" s="3">
        <v>1.359</v>
      </c>
      <c r="I51" s="3">
        <v>42.0</v>
      </c>
      <c r="J51" s="3">
        <v>158.0</v>
      </c>
      <c r="K51" s="3">
        <v>142.0</v>
      </c>
      <c r="L51" s="3">
        <v>50.0</v>
      </c>
      <c r="M51" s="3">
        <v>63.0</v>
      </c>
      <c r="N51" s="3">
        <v>15.0</v>
      </c>
      <c r="O51" s="3">
        <v>4.0</v>
      </c>
      <c r="P51" s="3">
        <v>12.0</v>
      </c>
      <c r="Q51" s="3">
        <v>40.0</v>
      </c>
      <c r="R51" s="3">
        <v>6.0</v>
      </c>
      <c r="S51" s="3">
        <v>10.0</v>
      </c>
      <c r="T51" s="3">
        <v>14.0</v>
      </c>
      <c r="U51" s="3">
        <v>11.0</v>
      </c>
      <c r="V51" s="3">
        <v>2.0</v>
      </c>
    </row>
    <row r="52">
      <c r="A52" s="3" t="s">
        <v>123</v>
      </c>
      <c r="B52" s="3" t="s">
        <v>124</v>
      </c>
      <c r="C52" s="3" t="s">
        <v>37</v>
      </c>
      <c r="D52" s="3" t="s">
        <v>98</v>
      </c>
      <c r="E52" s="3">
        <v>0.443</v>
      </c>
      <c r="F52" s="3">
        <v>0.533</v>
      </c>
      <c r="G52" s="3">
        <v>0.861</v>
      </c>
      <c r="H52" s="3">
        <v>1.394</v>
      </c>
      <c r="I52" s="3">
        <v>43.0</v>
      </c>
      <c r="J52" s="3">
        <v>150.0</v>
      </c>
      <c r="K52" s="3">
        <v>122.0</v>
      </c>
      <c r="L52" s="3">
        <v>42.0</v>
      </c>
      <c r="M52" s="3">
        <v>54.0</v>
      </c>
      <c r="N52" s="3">
        <v>10.0</v>
      </c>
      <c r="O52" s="3">
        <v>1.0</v>
      </c>
      <c r="P52" s="3">
        <v>13.0</v>
      </c>
      <c r="Q52" s="3">
        <v>45.0</v>
      </c>
      <c r="R52" s="3">
        <v>7.0</v>
      </c>
      <c r="S52" s="3">
        <v>19.0</v>
      </c>
      <c r="T52" s="3">
        <v>11.0</v>
      </c>
      <c r="U52" s="3">
        <v>4.0</v>
      </c>
      <c r="V52" s="3">
        <v>0.0</v>
      </c>
    </row>
    <row r="53">
      <c r="A53" s="3" t="s">
        <v>125</v>
      </c>
      <c r="B53" s="3" t="s">
        <v>33</v>
      </c>
      <c r="C53" s="3" t="s">
        <v>24</v>
      </c>
      <c r="D53" s="3" t="s">
        <v>13</v>
      </c>
      <c r="E53" s="3">
        <v>0.443</v>
      </c>
      <c r="F53" s="3">
        <v>0.53</v>
      </c>
      <c r="G53" s="3">
        <v>0.924</v>
      </c>
      <c r="H53" s="3">
        <v>1.454</v>
      </c>
      <c r="I53" s="3">
        <v>45.0</v>
      </c>
      <c r="J53" s="3">
        <v>167.0</v>
      </c>
      <c r="K53" s="3">
        <v>131.0</v>
      </c>
      <c r="L53" s="3">
        <v>63.0</v>
      </c>
      <c r="M53" s="3">
        <v>58.0</v>
      </c>
      <c r="N53" s="3">
        <v>15.0</v>
      </c>
      <c r="O53" s="3">
        <v>0.0</v>
      </c>
      <c r="P53" s="3">
        <v>16.0</v>
      </c>
      <c r="Q53" s="3">
        <v>57.0</v>
      </c>
      <c r="R53" s="3">
        <v>4.0</v>
      </c>
      <c r="S53" s="3">
        <v>25.0</v>
      </c>
      <c r="T53" s="3">
        <v>9.0</v>
      </c>
      <c r="U53" s="3">
        <v>17.0</v>
      </c>
      <c r="V53" s="3">
        <v>2.0</v>
      </c>
    </row>
    <row r="54">
      <c r="A54" s="3" t="s">
        <v>126</v>
      </c>
      <c r="B54" s="3" t="s">
        <v>74</v>
      </c>
      <c r="C54" s="3" t="s">
        <v>37</v>
      </c>
      <c r="D54" s="3" t="s">
        <v>38</v>
      </c>
      <c r="E54" s="3">
        <v>0.442</v>
      </c>
      <c r="F54" s="3">
        <v>0.562</v>
      </c>
      <c r="G54" s="3">
        <v>0.957</v>
      </c>
      <c r="H54" s="3">
        <v>1.518</v>
      </c>
      <c r="I54" s="3">
        <v>45.0</v>
      </c>
      <c r="J54" s="3">
        <v>178.0</v>
      </c>
      <c r="K54" s="3">
        <v>138.0</v>
      </c>
      <c r="L54" s="3">
        <v>51.0</v>
      </c>
      <c r="M54" s="3">
        <v>61.0</v>
      </c>
      <c r="N54" s="3">
        <v>12.0</v>
      </c>
      <c r="O54" s="3">
        <v>1.0</v>
      </c>
      <c r="P54" s="3">
        <v>19.0</v>
      </c>
      <c r="Q54" s="3">
        <v>65.0</v>
      </c>
      <c r="R54" s="3">
        <v>6.0</v>
      </c>
      <c r="S54" s="3">
        <v>33.0</v>
      </c>
      <c r="T54" s="3">
        <v>13.0</v>
      </c>
      <c r="U54" s="3">
        <v>1.0</v>
      </c>
      <c r="V54" s="3">
        <v>0.0</v>
      </c>
    </row>
    <row r="55">
      <c r="A55" s="3" t="s">
        <v>127</v>
      </c>
      <c r="B55" s="3" t="s">
        <v>128</v>
      </c>
      <c r="C55" s="3" t="s">
        <v>37</v>
      </c>
      <c r="D55" s="3" t="s">
        <v>28</v>
      </c>
      <c r="E55" s="3">
        <v>0.442</v>
      </c>
      <c r="F55" s="3">
        <v>0.55</v>
      </c>
      <c r="G55" s="3">
        <v>0.57</v>
      </c>
      <c r="H55" s="3">
        <v>1.12</v>
      </c>
      <c r="I55" s="3">
        <v>33.0</v>
      </c>
      <c r="J55" s="3">
        <v>110.0</v>
      </c>
      <c r="K55" s="3">
        <v>86.0</v>
      </c>
      <c r="L55" s="3">
        <v>30.0</v>
      </c>
      <c r="M55" s="3">
        <v>38.0</v>
      </c>
      <c r="N55" s="3">
        <v>4.0</v>
      </c>
      <c r="O55" s="3">
        <v>2.0</v>
      </c>
      <c r="P55" s="3">
        <v>1.0</v>
      </c>
      <c r="Q55" s="3">
        <v>23.0</v>
      </c>
      <c r="R55" s="3">
        <v>2.0</v>
      </c>
      <c r="S55" s="3">
        <v>20.0</v>
      </c>
      <c r="T55" s="3">
        <v>5.0</v>
      </c>
      <c r="U55" s="3">
        <v>15.0</v>
      </c>
      <c r="V55" s="3">
        <v>3.0</v>
      </c>
    </row>
    <row r="56">
      <c r="A56" s="3" t="s">
        <v>129</v>
      </c>
      <c r="B56" s="3" t="s">
        <v>130</v>
      </c>
      <c r="C56" s="3" t="s">
        <v>24</v>
      </c>
      <c r="D56" s="3" t="s">
        <v>47</v>
      </c>
      <c r="E56" s="3">
        <v>0.442</v>
      </c>
      <c r="F56" s="3">
        <v>0.5</v>
      </c>
      <c r="G56" s="3">
        <v>0.525</v>
      </c>
      <c r="H56" s="3">
        <v>1.025</v>
      </c>
      <c r="I56" s="3">
        <v>37.0</v>
      </c>
      <c r="J56" s="3">
        <v>136.0</v>
      </c>
      <c r="K56" s="3">
        <v>120.0</v>
      </c>
      <c r="L56" s="3">
        <v>36.0</v>
      </c>
      <c r="M56" s="3">
        <v>53.0</v>
      </c>
      <c r="N56" s="3">
        <v>8.0</v>
      </c>
      <c r="O56" s="3">
        <v>1.0</v>
      </c>
      <c r="P56" s="3">
        <v>0.0</v>
      </c>
      <c r="Q56" s="3">
        <v>8.0</v>
      </c>
      <c r="R56" s="3">
        <v>1.0</v>
      </c>
      <c r="S56" s="3">
        <v>14.0</v>
      </c>
      <c r="T56" s="3">
        <v>5.0</v>
      </c>
      <c r="U56" s="3">
        <v>12.0</v>
      </c>
      <c r="V56" s="3">
        <v>3.0</v>
      </c>
    </row>
    <row r="57">
      <c r="A57" s="3" t="s">
        <v>131</v>
      </c>
      <c r="B57" s="3" t="s">
        <v>33</v>
      </c>
      <c r="C57" s="3" t="s">
        <v>37</v>
      </c>
      <c r="D57" s="3" t="s">
        <v>47</v>
      </c>
      <c r="E57" s="3">
        <v>0.441</v>
      </c>
      <c r="F57" s="3">
        <v>0.497</v>
      </c>
      <c r="G57" s="3">
        <v>0.743</v>
      </c>
      <c r="H57" s="3">
        <v>1.24</v>
      </c>
      <c r="I57" s="3">
        <v>45.0</v>
      </c>
      <c r="J57" s="3">
        <v>171.0</v>
      </c>
      <c r="K57" s="3">
        <v>152.0</v>
      </c>
      <c r="L57" s="3">
        <v>62.0</v>
      </c>
      <c r="M57" s="3">
        <v>67.0</v>
      </c>
      <c r="N57" s="3">
        <v>11.0</v>
      </c>
      <c r="O57" s="3">
        <v>4.0</v>
      </c>
      <c r="P57" s="3">
        <v>9.0</v>
      </c>
      <c r="Q57" s="3">
        <v>42.0</v>
      </c>
      <c r="R57" s="3">
        <v>1.0</v>
      </c>
      <c r="S57" s="3">
        <v>17.0</v>
      </c>
      <c r="T57" s="3">
        <v>8.0</v>
      </c>
      <c r="U57" s="3">
        <v>30.0</v>
      </c>
      <c r="V57" s="3">
        <v>6.0</v>
      </c>
    </row>
    <row r="58">
      <c r="A58" s="3" t="s">
        <v>132</v>
      </c>
      <c r="B58" s="3" t="s">
        <v>133</v>
      </c>
      <c r="C58" s="3" t="s">
        <v>50</v>
      </c>
      <c r="D58" s="3" t="s">
        <v>13</v>
      </c>
      <c r="E58" s="3">
        <v>0.441</v>
      </c>
      <c r="F58" s="3">
        <v>0.487</v>
      </c>
      <c r="G58" s="3">
        <v>0.814</v>
      </c>
      <c r="H58" s="3">
        <v>1.301</v>
      </c>
      <c r="I58" s="3">
        <v>37.0</v>
      </c>
      <c r="J58" s="3">
        <v>117.0</v>
      </c>
      <c r="K58" s="3">
        <v>102.0</v>
      </c>
      <c r="L58" s="3">
        <v>29.0</v>
      </c>
      <c r="M58" s="3">
        <v>45.0</v>
      </c>
      <c r="N58" s="3">
        <v>9.0</v>
      </c>
      <c r="O58" s="3">
        <v>1.0</v>
      </c>
      <c r="P58" s="3">
        <v>9.0</v>
      </c>
      <c r="Q58" s="3">
        <v>44.0</v>
      </c>
      <c r="R58" s="3">
        <v>1.0</v>
      </c>
      <c r="S58" s="3">
        <v>10.0</v>
      </c>
      <c r="T58" s="3">
        <v>18.0</v>
      </c>
      <c r="U58" s="3">
        <v>8.0</v>
      </c>
      <c r="V58" s="3">
        <v>1.0</v>
      </c>
    </row>
    <row r="59">
      <c r="A59" s="3" t="s">
        <v>134</v>
      </c>
      <c r="B59" s="3" t="s">
        <v>135</v>
      </c>
      <c r="C59" s="3" t="s">
        <v>37</v>
      </c>
      <c r="D59" s="3" t="s">
        <v>38</v>
      </c>
      <c r="E59" s="3">
        <v>0.44</v>
      </c>
      <c r="F59" s="3">
        <v>0.536</v>
      </c>
      <c r="G59" s="3">
        <v>0.68</v>
      </c>
      <c r="H59" s="3">
        <v>1.216</v>
      </c>
      <c r="I59" s="3">
        <v>41.0</v>
      </c>
      <c r="J59" s="3">
        <v>153.0</v>
      </c>
      <c r="K59" s="3">
        <v>125.0</v>
      </c>
      <c r="L59" s="3">
        <v>27.0</v>
      </c>
      <c r="M59" s="3">
        <v>55.0</v>
      </c>
      <c r="N59" s="3">
        <v>16.0</v>
      </c>
      <c r="O59" s="3">
        <v>1.0</v>
      </c>
      <c r="P59" s="3">
        <v>4.0</v>
      </c>
      <c r="Q59" s="3">
        <v>22.0</v>
      </c>
      <c r="R59" s="3">
        <v>1.0</v>
      </c>
      <c r="S59" s="3">
        <v>26.0</v>
      </c>
      <c r="T59" s="3">
        <v>16.0</v>
      </c>
      <c r="U59" s="3">
        <v>0.0</v>
      </c>
      <c r="V59" s="3">
        <v>0.0</v>
      </c>
    </row>
    <row r="60">
      <c r="A60" s="3" t="s">
        <v>136</v>
      </c>
      <c r="B60" s="3" t="s">
        <v>137</v>
      </c>
      <c r="C60" s="3" t="s">
        <v>37</v>
      </c>
      <c r="D60" s="3" t="s">
        <v>14</v>
      </c>
      <c r="E60" s="3">
        <v>0.439</v>
      </c>
      <c r="F60" s="3">
        <v>0.508</v>
      </c>
      <c r="G60" s="3">
        <v>0.626</v>
      </c>
      <c r="H60" s="3">
        <v>1.134</v>
      </c>
      <c r="I60" s="3">
        <v>37.0</v>
      </c>
      <c r="J60" s="3">
        <v>130.0</v>
      </c>
      <c r="K60" s="3">
        <v>107.0</v>
      </c>
      <c r="L60" s="3">
        <v>28.0</v>
      </c>
      <c r="M60" s="3">
        <v>47.0</v>
      </c>
      <c r="N60" s="3">
        <v>10.0</v>
      </c>
      <c r="O60" s="3">
        <v>2.0</v>
      </c>
      <c r="P60" s="3">
        <v>2.0</v>
      </c>
      <c r="Q60" s="3">
        <v>27.0</v>
      </c>
      <c r="R60" s="3">
        <v>2.0</v>
      </c>
      <c r="S60" s="3">
        <v>17.0</v>
      </c>
      <c r="T60" s="3">
        <v>4.0</v>
      </c>
      <c r="U60" s="3">
        <v>11.0</v>
      </c>
      <c r="V60" s="3">
        <v>1.0</v>
      </c>
    </row>
    <row r="61">
      <c r="A61" s="3" t="s">
        <v>138</v>
      </c>
      <c r="B61" s="3" t="s">
        <v>139</v>
      </c>
      <c r="C61" s="3" t="s">
        <v>37</v>
      </c>
      <c r="D61" s="3" t="s">
        <v>13</v>
      </c>
      <c r="E61" s="3">
        <v>0.439</v>
      </c>
      <c r="F61" s="3">
        <v>0.479</v>
      </c>
      <c r="G61" s="3">
        <v>0.471</v>
      </c>
      <c r="H61" s="3">
        <v>0.951</v>
      </c>
      <c r="I61" s="3">
        <v>46.0</v>
      </c>
      <c r="J61" s="3">
        <v>173.0</v>
      </c>
      <c r="K61" s="3">
        <v>157.0</v>
      </c>
      <c r="L61" s="3">
        <v>35.0</v>
      </c>
      <c r="M61" s="3">
        <v>69.0</v>
      </c>
      <c r="N61" s="3">
        <v>1.0</v>
      </c>
      <c r="O61" s="3">
        <v>2.0</v>
      </c>
      <c r="P61" s="3">
        <v>0.0</v>
      </c>
      <c r="Q61" s="3">
        <v>19.0</v>
      </c>
      <c r="R61" s="3">
        <v>3.0</v>
      </c>
      <c r="S61" s="3">
        <v>9.0</v>
      </c>
      <c r="T61" s="3">
        <v>5.0</v>
      </c>
      <c r="U61" s="3">
        <v>13.0</v>
      </c>
      <c r="V61" s="3">
        <v>5.0</v>
      </c>
    </row>
    <row r="62">
      <c r="A62" s="3" t="s">
        <v>140</v>
      </c>
      <c r="B62" s="3" t="s">
        <v>141</v>
      </c>
      <c r="C62" s="3" t="s">
        <v>37</v>
      </c>
      <c r="D62" s="3" t="s">
        <v>14</v>
      </c>
      <c r="E62" s="3">
        <v>0.438</v>
      </c>
      <c r="F62" s="3">
        <v>0.484</v>
      </c>
      <c r="G62" s="3">
        <v>0.788</v>
      </c>
      <c r="H62" s="3">
        <v>1.272</v>
      </c>
      <c r="I62" s="3">
        <v>45.0</v>
      </c>
      <c r="J62" s="3">
        <v>157.0</v>
      </c>
      <c r="K62" s="3">
        <v>137.0</v>
      </c>
      <c r="L62" s="3">
        <v>44.0</v>
      </c>
      <c r="M62" s="3">
        <v>60.0</v>
      </c>
      <c r="N62" s="3">
        <v>14.0</v>
      </c>
      <c r="O62" s="3">
        <v>2.0</v>
      </c>
      <c r="P62" s="3">
        <v>10.0</v>
      </c>
      <c r="Q62" s="3">
        <v>35.0</v>
      </c>
      <c r="R62" s="3">
        <v>2.0</v>
      </c>
      <c r="S62" s="3">
        <v>14.0</v>
      </c>
      <c r="T62" s="3">
        <v>6.0</v>
      </c>
      <c r="U62" s="3">
        <v>5.0</v>
      </c>
      <c r="V62" s="3">
        <v>0.0</v>
      </c>
    </row>
    <row r="63">
      <c r="A63" s="3" t="s">
        <v>142</v>
      </c>
      <c r="B63" s="3" t="s">
        <v>143</v>
      </c>
      <c r="C63" s="3" t="s">
        <v>37</v>
      </c>
      <c r="D63" s="3" t="s">
        <v>47</v>
      </c>
      <c r="E63" s="3">
        <v>0.438</v>
      </c>
      <c r="F63" s="3">
        <v>0.565</v>
      </c>
      <c r="G63" s="3">
        <v>1.008</v>
      </c>
      <c r="H63" s="3">
        <v>1.572</v>
      </c>
      <c r="I63" s="3">
        <v>44.0</v>
      </c>
      <c r="J63" s="3">
        <v>170.0</v>
      </c>
      <c r="K63" s="3">
        <v>130.0</v>
      </c>
      <c r="L63" s="3">
        <v>63.0</v>
      </c>
      <c r="M63" s="3">
        <v>57.0</v>
      </c>
      <c r="N63" s="3">
        <v>15.0</v>
      </c>
      <c r="O63" s="3">
        <v>1.0</v>
      </c>
      <c r="P63" s="3">
        <v>19.0</v>
      </c>
      <c r="Q63" s="3">
        <v>55.0</v>
      </c>
      <c r="R63" s="3">
        <v>6.0</v>
      </c>
      <c r="S63" s="3">
        <v>33.0</v>
      </c>
      <c r="T63" s="3">
        <v>10.0</v>
      </c>
      <c r="U63" s="3">
        <v>7.0</v>
      </c>
      <c r="V63" s="3">
        <v>0.0</v>
      </c>
    </row>
    <row r="64">
      <c r="A64" s="3" t="s">
        <v>144</v>
      </c>
      <c r="B64" s="3" t="s">
        <v>145</v>
      </c>
      <c r="C64" s="3" t="s">
        <v>111</v>
      </c>
      <c r="D64" s="3" t="s">
        <v>31</v>
      </c>
      <c r="E64" s="3">
        <v>0.438</v>
      </c>
      <c r="F64" s="3">
        <v>0.496</v>
      </c>
      <c r="G64" s="3">
        <v>0.848</v>
      </c>
      <c r="H64" s="3">
        <v>1.344</v>
      </c>
      <c r="I64" s="3">
        <v>39.0</v>
      </c>
      <c r="J64" s="3">
        <v>134.0</v>
      </c>
      <c r="K64" s="3">
        <v>112.0</v>
      </c>
      <c r="L64" s="3">
        <v>19.0</v>
      </c>
      <c r="M64" s="3">
        <v>49.0</v>
      </c>
      <c r="N64" s="3">
        <v>11.0</v>
      </c>
      <c r="O64" s="3">
        <v>1.0</v>
      </c>
      <c r="P64" s="3">
        <v>11.0</v>
      </c>
      <c r="Q64" s="3">
        <v>42.0</v>
      </c>
      <c r="R64" s="3">
        <v>1.0</v>
      </c>
      <c r="S64" s="3">
        <v>16.0</v>
      </c>
      <c r="T64" s="3">
        <v>17.0</v>
      </c>
      <c r="U64" s="3">
        <v>0.0</v>
      </c>
      <c r="V64" s="3">
        <v>0.0</v>
      </c>
    </row>
    <row r="65">
      <c r="A65" s="3" t="s">
        <v>146</v>
      </c>
      <c r="B65" s="3" t="s">
        <v>147</v>
      </c>
      <c r="C65" s="3" t="s">
        <v>50</v>
      </c>
      <c r="D65" s="3" t="s">
        <v>13</v>
      </c>
      <c r="E65" s="3">
        <v>0.438</v>
      </c>
      <c r="F65" s="3">
        <v>0.488</v>
      </c>
      <c r="G65" s="3">
        <v>0.692</v>
      </c>
      <c r="H65" s="3">
        <v>1.179</v>
      </c>
      <c r="I65" s="3">
        <v>42.0</v>
      </c>
      <c r="J65" s="3">
        <v>164.0</v>
      </c>
      <c r="K65" s="3">
        <v>146.0</v>
      </c>
      <c r="L65" s="3">
        <v>38.0</v>
      </c>
      <c r="M65" s="3">
        <v>64.0</v>
      </c>
      <c r="N65" s="3">
        <v>14.0</v>
      </c>
      <c r="O65" s="3">
        <v>4.0</v>
      </c>
      <c r="P65" s="3">
        <v>5.0</v>
      </c>
      <c r="Q65" s="3">
        <v>36.0</v>
      </c>
      <c r="R65" s="3">
        <v>2.0</v>
      </c>
      <c r="S65" s="3">
        <v>13.0</v>
      </c>
      <c r="T65" s="3">
        <v>8.0</v>
      </c>
      <c r="U65" s="3">
        <v>4.0</v>
      </c>
      <c r="V65" s="3">
        <v>1.0</v>
      </c>
    </row>
    <row r="66">
      <c r="A66" s="3" t="s">
        <v>148</v>
      </c>
      <c r="B66" s="3" t="s">
        <v>120</v>
      </c>
      <c r="C66" s="3" t="s">
        <v>24</v>
      </c>
      <c r="D66" s="3" t="s">
        <v>47</v>
      </c>
      <c r="E66" s="3">
        <v>0.437</v>
      </c>
      <c r="F66" s="3">
        <v>0.479</v>
      </c>
      <c r="G66" s="3">
        <v>0.452</v>
      </c>
      <c r="H66" s="3">
        <v>0.931</v>
      </c>
      <c r="I66" s="3">
        <v>40.0</v>
      </c>
      <c r="J66" s="3">
        <v>147.0</v>
      </c>
      <c r="K66" s="3">
        <v>135.0</v>
      </c>
      <c r="L66" s="3">
        <v>53.0</v>
      </c>
      <c r="M66" s="3">
        <v>59.0</v>
      </c>
      <c r="N66" s="3">
        <v>2.0</v>
      </c>
      <c r="O66" s="3">
        <v>0.0</v>
      </c>
      <c r="P66" s="3">
        <v>0.0</v>
      </c>
      <c r="Q66" s="3">
        <v>13.0</v>
      </c>
      <c r="R66" s="3">
        <v>0.0</v>
      </c>
      <c r="S66" s="3">
        <v>11.0</v>
      </c>
      <c r="T66" s="3">
        <v>16.0</v>
      </c>
      <c r="U66" s="3">
        <v>9.0</v>
      </c>
      <c r="V66" s="3">
        <v>1.0</v>
      </c>
    </row>
    <row r="67">
      <c r="A67" s="3" t="s">
        <v>149</v>
      </c>
      <c r="B67" s="3" t="s">
        <v>150</v>
      </c>
      <c r="C67" s="3" t="s">
        <v>37</v>
      </c>
      <c r="D67" s="3" t="s">
        <v>98</v>
      </c>
      <c r="E67" s="3">
        <v>0.435</v>
      </c>
      <c r="F67" s="3">
        <v>0.547</v>
      </c>
      <c r="G67" s="3">
        <v>0.731</v>
      </c>
      <c r="H67" s="3">
        <v>1.279</v>
      </c>
      <c r="I67" s="3">
        <v>42.0</v>
      </c>
      <c r="J67" s="3">
        <v>137.0</v>
      </c>
      <c r="K67" s="3">
        <v>108.0</v>
      </c>
      <c r="L67" s="3">
        <v>29.0</v>
      </c>
      <c r="M67" s="3">
        <v>47.0</v>
      </c>
      <c r="N67" s="3">
        <v>6.0</v>
      </c>
      <c r="O67" s="3">
        <v>1.0</v>
      </c>
      <c r="P67" s="3">
        <v>8.0</v>
      </c>
      <c r="Q67" s="3">
        <v>38.0</v>
      </c>
      <c r="R67" s="3">
        <v>0.0</v>
      </c>
      <c r="S67" s="3">
        <v>28.0</v>
      </c>
      <c r="T67" s="3">
        <v>15.0</v>
      </c>
      <c r="U67" s="3">
        <v>1.0</v>
      </c>
      <c r="V67" s="3">
        <v>0.0</v>
      </c>
    </row>
    <row r="68">
      <c r="A68" s="3" t="s">
        <v>151</v>
      </c>
      <c r="B68" s="3" t="s">
        <v>152</v>
      </c>
      <c r="C68" s="3" t="s">
        <v>24</v>
      </c>
      <c r="D68" s="3" t="s">
        <v>14</v>
      </c>
      <c r="E68" s="3">
        <v>0.435</v>
      </c>
      <c r="F68" s="3">
        <v>0.488</v>
      </c>
      <c r="G68" s="3">
        <v>0.877</v>
      </c>
      <c r="H68" s="3">
        <v>1.365</v>
      </c>
      <c r="I68" s="3">
        <v>43.0</v>
      </c>
      <c r="J68" s="3">
        <v>166.0</v>
      </c>
      <c r="K68" s="3">
        <v>138.0</v>
      </c>
      <c r="L68" s="3">
        <v>57.0</v>
      </c>
      <c r="M68" s="3">
        <v>60.0</v>
      </c>
      <c r="N68" s="3">
        <v>11.0</v>
      </c>
      <c r="O68" s="3">
        <v>7.0</v>
      </c>
      <c r="P68" s="3">
        <v>12.0</v>
      </c>
      <c r="Q68" s="3">
        <v>53.0</v>
      </c>
      <c r="R68" s="3">
        <v>2.0</v>
      </c>
      <c r="S68" s="3">
        <v>19.0</v>
      </c>
      <c r="T68" s="3">
        <v>16.0</v>
      </c>
      <c r="U68" s="3">
        <v>10.0</v>
      </c>
      <c r="V68" s="3">
        <v>0.0</v>
      </c>
    </row>
    <row r="69">
      <c r="A69" s="3" t="s">
        <v>153</v>
      </c>
      <c r="B69" s="3" t="s">
        <v>70</v>
      </c>
      <c r="C69" s="3" t="s">
        <v>37</v>
      </c>
      <c r="D69" s="3" t="s">
        <v>47</v>
      </c>
      <c r="E69" s="3">
        <v>0.434</v>
      </c>
      <c r="F69" s="3">
        <v>0.491</v>
      </c>
      <c r="G69" s="3">
        <v>0.586</v>
      </c>
      <c r="H69" s="3">
        <v>1.077</v>
      </c>
      <c r="I69" s="3">
        <v>43.0</v>
      </c>
      <c r="J69" s="3">
        <v>171.0</v>
      </c>
      <c r="K69" s="3">
        <v>152.0</v>
      </c>
      <c r="L69" s="3">
        <v>53.0</v>
      </c>
      <c r="M69" s="3">
        <v>66.0</v>
      </c>
      <c r="N69" s="3">
        <v>11.0</v>
      </c>
      <c r="O69" s="3">
        <v>0.0</v>
      </c>
      <c r="P69" s="3">
        <v>4.0</v>
      </c>
      <c r="Q69" s="3">
        <v>17.0</v>
      </c>
      <c r="R69" s="3">
        <v>4.0</v>
      </c>
      <c r="S69" s="3">
        <v>14.0</v>
      </c>
      <c r="T69" s="3">
        <v>14.0</v>
      </c>
      <c r="U69" s="3">
        <v>11.0</v>
      </c>
      <c r="V69" s="3">
        <v>0.0</v>
      </c>
    </row>
    <row r="70">
      <c r="A70" s="3" t="s">
        <v>154</v>
      </c>
      <c r="B70" s="3" t="s">
        <v>155</v>
      </c>
      <c r="C70" s="3" t="s">
        <v>37</v>
      </c>
      <c r="D70" s="3" t="s">
        <v>25</v>
      </c>
      <c r="E70" s="3">
        <v>0.434</v>
      </c>
      <c r="F70" s="3">
        <v>0.513</v>
      </c>
      <c r="G70" s="3">
        <v>0.822</v>
      </c>
      <c r="H70" s="3">
        <v>1.335</v>
      </c>
      <c r="I70" s="3">
        <v>42.0</v>
      </c>
      <c r="J70" s="3">
        <v>154.0</v>
      </c>
      <c r="K70" s="3">
        <v>129.0</v>
      </c>
      <c r="L70" s="3">
        <v>44.0</v>
      </c>
      <c r="M70" s="3">
        <v>56.0</v>
      </c>
      <c r="N70" s="3">
        <v>12.0</v>
      </c>
      <c r="O70" s="3">
        <v>1.0</v>
      </c>
      <c r="P70" s="3">
        <v>12.0</v>
      </c>
      <c r="Q70" s="3">
        <v>33.0</v>
      </c>
      <c r="R70" s="3">
        <v>0.0</v>
      </c>
      <c r="S70" s="3">
        <v>23.0</v>
      </c>
      <c r="T70" s="3">
        <v>11.0</v>
      </c>
      <c r="U70" s="3">
        <v>1.0</v>
      </c>
      <c r="V70" s="3">
        <v>0.0</v>
      </c>
    </row>
    <row r="71">
      <c r="A71" s="3" t="s">
        <v>156</v>
      </c>
      <c r="B71" s="3" t="s">
        <v>97</v>
      </c>
      <c r="C71" s="3" t="s">
        <v>37</v>
      </c>
      <c r="D71" s="3" t="s">
        <v>14</v>
      </c>
      <c r="E71" s="3">
        <v>0.434</v>
      </c>
      <c r="F71" s="3">
        <v>0.491</v>
      </c>
      <c r="G71" s="3">
        <v>0.552</v>
      </c>
      <c r="H71" s="3">
        <v>1.043</v>
      </c>
      <c r="I71" s="3">
        <v>42.0</v>
      </c>
      <c r="J71" s="3">
        <v>165.0</v>
      </c>
      <c r="K71" s="3">
        <v>143.0</v>
      </c>
      <c r="L71" s="3">
        <v>52.0</v>
      </c>
      <c r="M71" s="3">
        <v>62.0</v>
      </c>
      <c r="N71" s="3">
        <v>10.0</v>
      </c>
      <c r="O71" s="3">
        <v>2.0</v>
      </c>
      <c r="P71" s="3">
        <v>1.0</v>
      </c>
      <c r="Q71" s="3">
        <v>22.0</v>
      </c>
      <c r="R71" s="3">
        <v>6.0</v>
      </c>
      <c r="S71" s="3">
        <v>12.0</v>
      </c>
      <c r="T71" s="3">
        <v>10.0</v>
      </c>
      <c r="U71" s="3">
        <v>17.0</v>
      </c>
      <c r="V71" s="3">
        <v>3.0</v>
      </c>
    </row>
    <row r="72">
      <c r="A72" s="3" t="s">
        <v>157</v>
      </c>
      <c r="B72" s="3" t="s">
        <v>54</v>
      </c>
      <c r="C72" s="3" t="s">
        <v>37</v>
      </c>
      <c r="D72" s="3" t="s">
        <v>13</v>
      </c>
      <c r="E72" s="3">
        <v>0.433</v>
      </c>
      <c r="F72" s="3">
        <v>0.553</v>
      </c>
      <c r="G72" s="3">
        <v>0.66</v>
      </c>
      <c r="H72" s="3">
        <v>1.213</v>
      </c>
      <c r="I72" s="3">
        <v>43.0</v>
      </c>
      <c r="J72" s="3">
        <v>126.0</v>
      </c>
      <c r="K72" s="3">
        <v>97.0</v>
      </c>
      <c r="L72" s="3">
        <v>38.0</v>
      </c>
      <c r="M72" s="3">
        <v>42.0</v>
      </c>
      <c r="N72" s="3">
        <v>4.0</v>
      </c>
      <c r="O72" s="3">
        <v>0.0</v>
      </c>
      <c r="P72" s="3">
        <v>6.0</v>
      </c>
      <c r="Q72" s="3">
        <v>28.0</v>
      </c>
      <c r="R72" s="3">
        <v>4.0</v>
      </c>
      <c r="S72" s="3">
        <v>22.0</v>
      </c>
      <c r="T72" s="3">
        <v>8.0</v>
      </c>
      <c r="U72" s="3">
        <v>9.0</v>
      </c>
      <c r="V72" s="3">
        <v>1.0</v>
      </c>
    </row>
    <row r="73">
      <c r="A73" s="3" t="s">
        <v>158</v>
      </c>
      <c r="B73" s="3" t="s">
        <v>159</v>
      </c>
      <c r="C73" s="3" t="s">
        <v>37</v>
      </c>
      <c r="D73" s="3" t="s">
        <v>14</v>
      </c>
      <c r="E73" s="3">
        <v>0.432</v>
      </c>
      <c r="F73" s="3">
        <v>0.481</v>
      </c>
      <c r="G73" s="3">
        <v>0.589</v>
      </c>
      <c r="H73" s="3">
        <v>1.07</v>
      </c>
      <c r="I73" s="3">
        <v>31.0</v>
      </c>
      <c r="J73" s="3">
        <v>105.0</v>
      </c>
      <c r="K73" s="3">
        <v>95.0</v>
      </c>
      <c r="L73" s="3">
        <v>24.0</v>
      </c>
      <c r="M73" s="3">
        <v>41.0</v>
      </c>
      <c r="N73" s="3">
        <v>4.0</v>
      </c>
      <c r="O73" s="3">
        <v>4.0</v>
      </c>
      <c r="P73" s="3">
        <v>1.0</v>
      </c>
      <c r="Q73" s="3">
        <v>16.0</v>
      </c>
      <c r="R73" s="3">
        <v>0.0</v>
      </c>
      <c r="S73" s="3">
        <v>9.0</v>
      </c>
      <c r="T73" s="3">
        <v>3.0</v>
      </c>
      <c r="U73" s="3">
        <v>3.0</v>
      </c>
      <c r="V73" s="3">
        <v>3.0</v>
      </c>
    </row>
    <row r="74">
      <c r="A74" s="3" t="s">
        <v>160</v>
      </c>
      <c r="B74" s="3" t="s">
        <v>161</v>
      </c>
      <c r="C74" s="3" t="s">
        <v>24</v>
      </c>
      <c r="D74" s="3" t="s">
        <v>13</v>
      </c>
      <c r="E74" s="3">
        <v>0.432</v>
      </c>
      <c r="F74" s="3">
        <v>0.512</v>
      </c>
      <c r="G74" s="3">
        <v>0.835</v>
      </c>
      <c r="H74" s="3">
        <v>1.347</v>
      </c>
      <c r="I74" s="3">
        <v>42.0</v>
      </c>
      <c r="J74" s="3">
        <v>166.0</v>
      </c>
      <c r="K74" s="3">
        <v>139.0</v>
      </c>
      <c r="L74" s="3">
        <v>52.0</v>
      </c>
      <c r="M74" s="3">
        <v>60.0</v>
      </c>
      <c r="N74" s="3">
        <v>13.0</v>
      </c>
      <c r="O74" s="3">
        <v>5.0</v>
      </c>
      <c r="P74" s="3">
        <v>11.0</v>
      </c>
      <c r="Q74" s="3">
        <v>49.0</v>
      </c>
      <c r="R74" s="3">
        <v>7.0</v>
      </c>
      <c r="S74" s="3">
        <v>18.0</v>
      </c>
      <c r="T74" s="3">
        <v>6.0</v>
      </c>
      <c r="U74" s="3">
        <v>18.0</v>
      </c>
      <c r="V74" s="3">
        <v>3.0</v>
      </c>
    </row>
    <row r="75">
      <c r="A75" s="3" t="s">
        <v>162</v>
      </c>
      <c r="B75" s="3" t="s">
        <v>163</v>
      </c>
      <c r="C75" s="3" t="s">
        <v>50</v>
      </c>
      <c r="D75" s="3" t="s">
        <v>31</v>
      </c>
      <c r="E75" s="3">
        <v>0.432</v>
      </c>
      <c r="F75" s="3">
        <v>0.598</v>
      </c>
      <c r="G75" s="3">
        <v>0.689</v>
      </c>
      <c r="H75" s="3">
        <v>1.287</v>
      </c>
      <c r="I75" s="3">
        <v>35.0</v>
      </c>
      <c r="J75" s="3">
        <v>118.0</v>
      </c>
      <c r="K75" s="3">
        <v>74.0</v>
      </c>
      <c r="L75" s="3">
        <v>24.0</v>
      </c>
      <c r="M75" s="3">
        <v>32.0</v>
      </c>
      <c r="N75" s="3">
        <v>8.0</v>
      </c>
      <c r="O75" s="3">
        <v>4.0</v>
      </c>
      <c r="P75" s="3">
        <v>1.0</v>
      </c>
      <c r="Q75" s="3">
        <v>15.0</v>
      </c>
      <c r="R75" s="3">
        <v>8.0</v>
      </c>
      <c r="S75" s="3">
        <v>24.0</v>
      </c>
      <c r="T75" s="3">
        <v>9.0</v>
      </c>
      <c r="U75" s="3">
        <v>5.0</v>
      </c>
      <c r="V75" s="3">
        <v>2.0</v>
      </c>
    </row>
    <row r="76">
      <c r="A76" s="3" t="s">
        <v>164</v>
      </c>
      <c r="B76" s="3" t="s">
        <v>133</v>
      </c>
      <c r="C76" s="3" t="s">
        <v>37</v>
      </c>
      <c r="D76" s="3" t="s">
        <v>25</v>
      </c>
      <c r="E76" s="3">
        <v>0.431</v>
      </c>
      <c r="F76" s="3">
        <v>0.512</v>
      </c>
      <c r="G76" s="3">
        <v>0.657</v>
      </c>
      <c r="H76" s="3">
        <v>1.169</v>
      </c>
      <c r="I76" s="3">
        <v>41.0</v>
      </c>
      <c r="J76" s="3">
        <v>163.0</v>
      </c>
      <c r="K76" s="3">
        <v>137.0</v>
      </c>
      <c r="L76" s="3">
        <v>46.0</v>
      </c>
      <c r="M76" s="3">
        <v>59.0</v>
      </c>
      <c r="N76" s="3">
        <v>7.0</v>
      </c>
      <c r="O76" s="3">
        <v>6.0</v>
      </c>
      <c r="P76" s="3">
        <v>4.0</v>
      </c>
      <c r="Q76" s="3">
        <v>28.0</v>
      </c>
      <c r="R76" s="3">
        <v>1.0</v>
      </c>
      <c r="S76" s="3">
        <v>23.0</v>
      </c>
      <c r="T76" s="3">
        <v>11.0</v>
      </c>
      <c r="U76" s="3">
        <v>13.0</v>
      </c>
      <c r="V76" s="3">
        <v>6.0</v>
      </c>
    </row>
    <row r="77">
      <c r="A77" s="3" t="s">
        <v>165</v>
      </c>
      <c r="B77" s="3" t="s">
        <v>40</v>
      </c>
      <c r="C77" s="3" t="s">
        <v>37</v>
      </c>
      <c r="D77" s="3" t="s">
        <v>38</v>
      </c>
      <c r="E77" s="3">
        <v>0.43</v>
      </c>
      <c r="F77" s="3">
        <v>0.509</v>
      </c>
      <c r="G77" s="3">
        <v>0.985</v>
      </c>
      <c r="H77" s="3">
        <v>1.495</v>
      </c>
      <c r="I77" s="3">
        <v>44.0</v>
      </c>
      <c r="J77" s="3">
        <v>163.0</v>
      </c>
      <c r="K77" s="3">
        <v>135.0</v>
      </c>
      <c r="L77" s="3">
        <v>40.0</v>
      </c>
      <c r="M77" s="3">
        <v>58.0</v>
      </c>
      <c r="N77" s="3">
        <v>11.0</v>
      </c>
      <c r="O77" s="3">
        <v>2.0</v>
      </c>
      <c r="P77" s="3">
        <v>20.0</v>
      </c>
      <c r="Q77" s="3">
        <v>66.0</v>
      </c>
      <c r="R77" s="3">
        <v>10.0</v>
      </c>
      <c r="S77" s="3">
        <v>14.0</v>
      </c>
      <c r="T77" s="3">
        <v>8.0</v>
      </c>
      <c r="U77" s="3">
        <v>6.0</v>
      </c>
      <c r="V77" s="3">
        <v>0.0</v>
      </c>
    </row>
    <row r="78">
      <c r="A78" s="3" t="s">
        <v>166</v>
      </c>
      <c r="B78" s="3" t="s">
        <v>167</v>
      </c>
      <c r="C78" s="3" t="s">
        <v>37</v>
      </c>
      <c r="D78" s="3" t="s">
        <v>38</v>
      </c>
      <c r="E78" s="3">
        <v>0.43</v>
      </c>
      <c r="F78" s="3">
        <v>0.486</v>
      </c>
      <c r="G78" s="3">
        <v>0.9</v>
      </c>
      <c r="H78" s="3">
        <v>1.386</v>
      </c>
      <c r="I78" s="3">
        <v>32.0</v>
      </c>
      <c r="J78" s="3">
        <v>111.0</v>
      </c>
      <c r="K78" s="3">
        <v>100.0</v>
      </c>
      <c r="L78" s="3">
        <v>23.0</v>
      </c>
      <c r="M78" s="3">
        <v>43.0</v>
      </c>
      <c r="N78" s="3">
        <v>11.0</v>
      </c>
      <c r="O78" s="3">
        <v>0.0</v>
      </c>
      <c r="P78" s="3">
        <v>12.0</v>
      </c>
      <c r="Q78" s="3">
        <v>39.0</v>
      </c>
      <c r="R78" s="3">
        <v>0.0</v>
      </c>
      <c r="S78" s="3">
        <v>11.0</v>
      </c>
      <c r="T78" s="3">
        <v>14.0</v>
      </c>
      <c r="U78" s="3">
        <v>0.0</v>
      </c>
      <c r="V78" s="3">
        <v>0.0</v>
      </c>
    </row>
    <row r="79">
      <c r="A79" s="3" t="s">
        <v>168</v>
      </c>
      <c r="B79" s="3" t="s">
        <v>150</v>
      </c>
      <c r="C79" s="3" t="s">
        <v>37</v>
      </c>
      <c r="D79" s="3" t="s">
        <v>34</v>
      </c>
      <c r="E79" s="3">
        <v>0.429</v>
      </c>
      <c r="F79" s="3">
        <v>0.507</v>
      </c>
      <c r="G79" s="3">
        <v>0.777</v>
      </c>
      <c r="H79" s="3">
        <v>1.284</v>
      </c>
      <c r="I79" s="3">
        <v>42.0</v>
      </c>
      <c r="J79" s="3">
        <v>134.0</v>
      </c>
      <c r="K79" s="3">
        <v>112.0</v>
      </c>
      <c r="L79" s="3">
        <v>39.0</v>
      </c>
      <c r="M79" s="3">
        <v>48.0</v>
      </c>
      <c r="N79" s="3">
        <v>13.0</v>
      </c>
      <c r="O79" s="3">
        <v>1.0</v>
      </c>
      <c r="P79" s="3">
        <v>8.0</v>
      </c>
      <c r="Q79" s="3">
        <v>31.0</v>
      </c>
      <c r="R79" s="3">
        <v>0.0</v>
      </c>
      <c r="S79" s="3">
        <v>20.0</v>
      </c>
      <c r="T79" s="3">
        <v>12.0</v>
      </c>
      <c r="U79" s="3">
        <v>1.0</v>
      </c>
      <c r="V79" s="3">
        <v>0.0</v>
      </c>
    </row>
    <row r="80">
      <c r="A80" s="3" t="s">
        <v>169</v>
      </c>
      <c r="B80" s="3" t="s">
        <v>170</v>
      </c>
      <c r="C80" s="3" t="s">
        <v>37</v>
      </c>
      <c r="D80" s="3" t="s">
        <v>28</v>
      </c>
      <c r="E80" s="3">
        <v>0.427</v>
      </c>
      <c r="F80" s="3">
        <v>0.503</v>
      </c>
      <c r="G80" s="3">
        <v>0.637</v>
      </c>
      <c r="H80" s="3">
        <v>1.14</v>
      </c>
      <c r="I80" s="3">
        <v>42.0</v>
      </c>
      <c r="J80" s="3">
        <v>150.0</v>
      </c>
      <c r="K80" s="3">
        <v>124.0</v>
      </c>
      <c r="L80" s="3">
        <v>18.0</v>
      </c>
      <c r="M80" s="3">
        <v>53.0</v>
      </c>
      <c r="N80" s="3">
        <v>16.0</v>
      </c>
      <c r="O80" s="3">
        <v>2.0</v>
      </c>
      <c r="P80" s="3">
        <v>2.0</v>
      </c>
      <c r="Q80" s="3">
        <v>28.0</v>
      </c>
      <c r="R80" s="3">
        <v>5.0</v>
      </c>
      <c r="S80" s="3">
        <v>16.0</v>
      </c>
      <c r="T80" s="3">
        <v>10.0</v>
      </c>
      <c r="U80" s="3">
        <v>1.0</v>
      </c>
      <c r="V80" s="3">
        <v>1.0</v>
      </c>
    </row>
    <row r="81">
      <c r="A81" s="3" t="s">
        <v>171</v>
      </c>
      <c r="B81" s="3" t="s">
        <v>124</v>
      </c>
      <c r="C81" s="3" t="s">
        <v>50</v>
      </c>
      <c r="D81" s="3" t="s">
        <v>38</v>
      </c>
      <c r="E81" s="3">
        <v>0.427</v>
      </c>
      <c r="F81" s="3">
        <v>0.537</v>
      </c>
      <c r="G81" s="3">
        <v>0.957</v>
      </c>
      <c r="H81" s="3">
        <v>1.495</v>
      </c>
      <c r="I81" s="3">
        <v>42.0</v>
      </c>
      <c r="J81" s="3">
        <v>147.0</v>
      </c>
      <c r="K81" s="3">
        <v>117.0</v>
      </c>
      <c r="L81" s="3">
        <v>28.0</v>
      </c>
      <c r="M81" s="3">
        <v>50.0</v>
      </c>
      <c r="N81" s="3">
        <v>8.0</v>
      </c>
      <c r="O81" s="3">
        <v>0.0</v>
      </c>
      <c r="P81" s="3">
        <v>18.0</v>
      </c>
      <c r="Q81" s="3">
        <v>48.0</v>
      </c>
      <c r="R81" s="3">
        <v>1.0</v>
      </c>
      <c r="S81" s="3">
        <v>28.0</v>
      </c>
      <c r="T81" s="3">
        <v>14.0</v>
      </c>
      <c r="U81" s="3">
        <v>1.0</v>
      </c>
      <c r="V81" s="3">
        <v>0.0</v>
      </c>
    </row>
    <row r="82">
      <c r="A82" s="3" t="s">
        <v>172</v>
      </c>
      <c r="B82" s="3" t="s">
        <v>173</v>
      </c>
      <c r="C82" s="3" t="s">
        <v>24</v>
      </c>
      <c r="D82" s="3" t="s">
        <v>13</v>
      </c>
      <c r="E82" s="3">
        <v>0.426</v>
      </c>
      <c r="F82" s="3">
        <v>0.516</v>
      </c>
      <c r="G82" s="3">
        <v>0.554</v>
      </c>
      <c r="H82" s="3">
        <v>1.071</v>
      </c>
      <c r="I82" s="3">
        <v>32.0</v>
      </c>
      <c r="J82" s="3">
        <v>122.0</v>
      </c>
      <c r="K82" s="3">
        <v>101.0</v>
      </c>
      <c r="L82" s="3">
        <v>29.0</v>
      </c>
      <c r="M82" s="3">
        <v>43.0</v>
      </c>
      <c r="N82" s="3">
        <v>10.0</v>
      </c>
      <c r="O82" s="3">
        <v>0.0</v>
      </c>
      <c r="P82" s="3">
        <v>1.0</v>
      </c>
      <c r="Q82" s="3">
        <v>14.0</v>
      </c>
      <c r="R82" s="3">
        <v>1.0</v>
      </c>
      <c r="S82" s="3">
        <v>19.0</v>
      </c>
      <c r="T82" s="3">
        <v>7.0</v>
      </c>
      <c r="U82" s="3">
        <v>5.0</v>
      </c>
      <c r="V82" s="3">
        <v>3.0</v>
      </c>
    </row>
    <row r="83">
      <c r="A83" s="3" t="s">
        <v>174</v>
      </c>
      <c r="B83" s="3" t="s">
        <v>175</v>
      </c>
      <c r="C83" s="3" t="s">
        <v>50</v>
      </c>
      <c r="D83" s="3" t="s">
        <v>38</v>
      </c>
      <c r="E83" s="3">
        <v>0.425</v>
      </c>
      <c r="F83" s="3">
        <v>0.49</v>
      </c>
      <c r="G83" s="3">
        <v>0.724</v>
      </c>
      <c r="H83" s="3">
        <v>1.214</v>
      </c>
      <c r="I83" s="3">
        <v>33.0</v>
      </c>
      <c r="J83" s="3">
        <v>98.0</v>
      </c>
      <c r="K83" s="3">
        <v>87.0</v>
      </c>
      <c r="L83" s="3">
        <v>24.0</v>
      </c>
      <c r="M83" s="3">
        <v>37.0</v>
      </c>
      <c r="N83" s="3">
        <v>4.0</v>
      </c>
      <c r="O83" s="3">
        <v>2.0</v>
      </c>
      <c r="P83" s="3">
        <v>6.0</v>
      </c>
      <c r="Q83" s="3">
        <v>22.0</v>
      </c>
      <c r="R83" s="3">
        <v>1.0</v>
      </c>
      <c r="S83" s="3">
        <v>10.0</v>
      </c>
      <c r="T83" s="3">
        <v>2.0</v>
      </c>
      <c r="U83" s="3">
        <v>10.0</v>
      </c>
      <c r="V83" s="3">
        <v>1.0</v>
      </c>
    </row>
    <row r="84">
      <c r="A84" s="3" t="s">
        <v>176</v>
      </c>
      <c r="B84" s="3" t="s">
        <v>177</v>
      </c>
      <c r="C84" s="3" t="s">
        <v>37</v>
      </c>
      <c r="D84" s="3" t="s">
        <v>47</v>
      </c>
      <c r="E84" s="3">
        <v>0.424</v>
      </c>
      <c r="F84" s="3">
        <v>0.459</v>
      </c>
      <c r="G84" s="3">
        <v>0.536</v>
      </c>
      <c r="H84" s="3">
        <v>0.995</v>
      </c>
      <c r="I84" s="3">
        <v>39.0</v>
      </c>
      <c r="J84" s="3">
        <v>144.0</v>
      </c>
      <c r="K84" s="3">
        <v>125.0</v>
      </c>
      <c r="L84" s="3">
        <v>34.0</v>
      </c>
      <c r="M84" s="3">
        <v>53.0</v>
      </c>
      <c r="N84" s="3">
        <v>3.0</v>
      </c>
      <c r="O84" s="3">
        <v>4.0</v>
      </c>
      <c r="P84" s="3">
        <v>1.0</v>
      </c>
      <c r="Q84" s="3">
        <v>15.0</v>
      </c>
      <c r="R84" s="3">
        <v>0.0</v>
      </c>
      <c r="S84" s="3">
        <v>9.0</v>
      </c>
      <c r="T84" s="3">
        <v>3.0</v>
      </c>
      <c r="U84" s="3">
        <v>17.0</v>
      </c>
      <c r="V84" s="3">
        <v>4.0</v>
      </c>
    </row>
    <row r="85">
      <c r="A85" s="3" t="s">
        <v>178</v>
      </c>
      <c r="B85" s="3" t="s">
        <v>122</v>
      </c>
      <c r="C85" s="3" t="s">
        <v>24</v>
      </c>
      <c r="D85" s="3" t="s">
        <v>47</v>
      </c>
      <c r="E85" s="3">
        <v>0.424</v>
      </c>
      <c r="F85" s="3">
        <v>0.478</v>
      </c>
      <c r="G85" s="3">
        <v>0.689</v>
      </c>
      <c r="H85" s="3">
        <v>1.167</v>
      </c>
      <c r="I85" s="3">
        <v>42.0</v>
      </c>
      <c r="J85" s="3">
        <v>157.0</v>
      </c>
      <c r="K85" s="3">
        <v>132.0</v>
      </c>
      <c r="L85" s="3">
        <v>39.0</v>
      </c>
      <c r="M85" s="3">
        <v>56.0</v>
      </c>
      <c r="N85" s="3">
        <v>13.0</v>
      </c>
      <c r="O85" s="3">
        <v>2.0</v>
      </c>
      <c r="P85" s="3">
        <v>6.0</v>
      </c>
      <c r="Q85" s="3">
        <v>37.0</v>
      </c>
      <c r="R85" s="3">
        <v>2.0</v>
      </c>
      <c r="S85" s="3">
        <v>17.0</v>
      </c>
      <c r="T85" s="3">
        <v>13.0</v>
      </c>
      <c r="U85" s="3">
        <v>8.0</v>
      </c>
      <c r="V85" s="3">
        <v>0.0</v>
      </c>
    </row>
    <row r="86">
      <c r="A86" s="3" t="s">
        <v>179</v>
      </c>
      <c r="B86" s="3" t="s">
        <v>180</v>
      </c>
      <c r="C86" s="3" t="s">
        <v>24</v>
      </c>
      <c r="D86" s="3" t="s">
        <v>25</v>
      </c>
      <c r="E86" s="3">
        <v>0.424</v>
      </c>
      <c r="F86" s="3">
        <v>0.52</v>
      </c>
      <c r="G86" s="3">
        <v>0.677</v>
      </c>
      <c r="H86" s="3">
        <v>1.197</v>
      </c>
      <c r="I86" s="3">
        <v>36.0</v>
      </c>
      <c r="J86" s="3">
        <v>125.0</v>
      </c>
      <c r="K86" s="3">
        <v>99.0</v>
      </c>
      <c r="L86" s="3">
        <v>22.0</v>
      </c>
      <c r="M86" s="3">
        <v>42.0</v>
      </c>
      <c r="N86" s="3">
        <v>12.0</v>
      </c>
      <c r="O86" s="3">
        <v>2.0</v>
      </c>
      <c r="P86" s="3">
        <v>3.0</v>
      </c>
      <c r="Q86" s="3">
        <v>23.0</v>
      </c>
      <c r="R86" s="3">
        <v>2.0</v>
      </c>
      <c r="S86" s="3">
        <v>20.0</v>
      </c>
      <c r="T86" s="3">
        <v>11.0</v>
      </c>
      <c r="U86" s="3">
        <v>7.0</v>
      </c>
      <c r="V86" s="3">
        <v>2.0</v>
      </c>
    </row>
    <row r="87">
      <c r="A87" s="3" t="s">
        <v>181</v>
      </c>
      <c r="B87" s="3" t="s">
        <v>182</v>
      </c>
      <c r="C87" s="3" t="s">
        <v>37</v>
      </c>
      <c r="D87" s="3" t="s">
        <v>47</v>
      </c>
      <c r="E87" s="3">
        <v>0.423</v>
      </c>
      <c r="F87" s="3">
        <v>0.461</v>
      </c>
      <c r="G87" s="3">
        <v>0.458</v>
      </c>
      <c r="H87" s="3">
        <v>0.919</v>
      </c>
      <c r="I87" s="3">
        <v>42.0</v>
      </c>
      <c r="J87" s="3">
        <v>155.0</v>
      </c>
      <c r="K87" s="3">
        <v>142.0</v>
      </c>
      <c r="L87" s="3">
        <v>34.0</v>
      </c>
      <c r="M87" s="3">
        <v>60.0</v>
      </c>
      <c r="N87" s="3">
        <v>3.0</v>
      </c>
      <c r="O87" s="3">
        <v>1.0</v>
      </c>
      <c r="P87" s="3">
        <v>0.0</v>
      </c>
      <c r="Q87" s="3">
        <v>27.0</v>
      </c>
      <c r="R87" s="3">
        <v>0.0</v>
      </c>
      <c r="S87" s="3">
        <v>11.0</v>
      </c>
      <c r="T87" s="3">
        <v>7.0</v>
      </c>
      <c r="U87" s="3">
        <v>9.0</v>
      </c>
      <c r="V87" s="3">
        <v>2.0</v>
      </c>
    </row>
    <row r="88">
      <c r="A88" s="3" t="s">
        <v>183</v>
      </c>
      <c r="B88" s="3" t="s">
        <v>184</v>
      </c>
      <c r="C88" s="3" t="s">
        <v>24</v>
      </c>
      <c r="D88" s="3" t="s">
        <v>14</v>
      </c>
      <c r="E88" s="3">
        <v>0.423</v>
      </c>
      <c r="F88" s="3">
        <v>0.44</v>
      </c>
      <c r="G88" s="3">
        <v>0.432</v>
      </c>
      <c r="H88" s="3">
        <v>0.872</v>
      </c>
      <c r="I88" s="3">
        <v>39.0</v>
      </c>
      <c r="J88" s="3">
        <v>118.0</v>
      </c>
      <c r="K88" s="3">
        <v>111.0</v>
      </c>
      <c r="L88" s="3">
        <v>26.0</v>
      </c>
      <c r="M88" s="3">
        <v>47.0</v>
      </c>
      <c r="N88" s="3">
        <v>1.0</v>
      </c>
      <c r="O88" s="3">
        <v>0.0</v>
      </c>
      <c r="P88" s="3">
        <v>0.0</v>
      </c>
      <c r="Q88" s="3">
        <v>8.0</v>
      </c>
      <c r="R88" s="3">
        <v>1.0</v>
      </c>
      <c r="S88" s="3">
        <v>3.0</v>
      </c>
      <c r="T88" s="3">
        <v>11.0</v>
      </c>
      <c r="U88" s="3">
        <v>10.0</v>
      </c>
      <c r="V88" s="3">
        <v>3.0</v>
      </c>
    </row>
    <row r="89">
      <c r="A89" s="3" t="s">
        <v>185</v>
      </c>
      <c r="B89" s="3" t="s">
        <v>186</v>
      </c>
      <c r="C89" s="3" t="s">
        <v>55</v>
      </c>
      <c r="D89" s="3" t="s">
        <v>34</v>
      </c>
      <c r="E89" s="3">
        <v>0.423</v>
      </c>
      <c r="F89" s="3">
        <v>0.515</v>
      </c>
      <c r="G89" s="3">
        <v>0.523</v>
      </c>
      <c r="H89" s="3">
        <v>1.038</v>
      </c>
      <c r="I89" s="3">
        <v>41.0</v>
      </c>
      <c r="J89" s="3">
        <v>134.0</v>
      </c>
      <c r="K89" s="3">
        <v>111.0</v>
      </c>
      <c r="L89" s="3">
        <v>33.0</v>
      </c>
      <c r="M89" s="3">
        <v>47.0</v>
      </c>
      <c r="N89" s="3">
        <v>6.0</v>
      </c>
      <c r="O89" s="3">
        <v>1.0</v>
      </c>
      <c r="P89" s="3">
        <v>1.0</v>
      </c>
      <c r="Q89" s="3">
        <v>26.0</v>
      </c>
      <c r="R89" s="3">
        <v>3.0</v>
      </c>
      <c r="S89" s="3">
        <v>18.0</v>
      </c>
      <c r="T89" s="3">
        <v>19.0</v>
      </c>
      <c r="U89" s="3">
        <v>3.0</v>
      </c>
      <c r="V89" s="3">
        <v>5.0</v>
      </c>
    </row>
    <row r="90">
      <c r="A90" s="3" t="s">
        <v>187</v>
      </c>
      <c r="B90" s="3" t="s">
        <v>188</v>
      </c>
      <c r="C90" s="3" t="s">
        <v>37</v>
      </c>
      <c r="D90" s="3" t="s">
        <v>47</v>
      </c>
      <c r="E90" s="3">
        <v>0.422</v>
      </c>
      <c r="F90" s="3">
        <v>0.497</v>
      </c>
      <c r="G90" s="3">
        <v>0.813</v>
      </c>
      <c r="H90" s="3">
        <v>1.309</v>
      </c>
      <c r="I90" s="3">
        <v>39.0</v>
      </c>
      <c r="J90" s="3">
        <v>150.0</v>
      </c>
      <c r="K90" s="3">
        <v>128.0</v>
      </c>
      <c r="L90" s="3">
        <v>41.0</v>
      </c>
      <c r="M90" s="3">
        <v>54.0</v>
      </c>
      <c r="N90" s="3">
        <v>11.0</v>
      </c>
      <c r="O90" s="3">
        <v>3.0</v>
      </c>
      <c r="P90" s="3">
        <v>11.0</v>
      </c>
      <c r="Q90" s="3">
        <v>46.0</v>
      </c>
      <c r="R90" s="3">
        <v>2.0</v>
      </c>
      <c r="S90" s="3">
        <v>18.0</v>
      </c>
      <c r="T90" s="3">
        <v>17.0</v>
      </c>
      <c r="U90" s="3">
        <v>12.0</v>
      </c>
      <c r="V90" s="3">
        <v>4.0</v>
      </c>
    </row>
    <row r="91">
      <c r="A91" s="3" t="s">
        <v>189</v>
      </c>
      <c r="B91" s="3" t="s">
        <v>44</v>
      </c>
      <c r="C91" s="3" t="s">
        <v>24</v>
      </c>
      <c r="D91" s="3" t="s">
        <v>47</v>
      </c>
      <c r="E91" s="3">
        <v>0.422</v>
      </c>
      <c r="F91" s="3">
        <v>0.525</v>
      </c>
      <c r="G91" s="3">
        <v>0.741</v>
      </c>
      <c r="H91" s="3">
        <v>1.266</v>
      </c>
      <c r="I91" s="3">
        <v>39.0</v>
      </c>
      <c r="J91" s="3">
        <v>142.0</v>
      </c>
      <c r="K91" s="3">
        <v>116.0</v>
      </c>
      <c r="L91" s="3">
        <v>59.0</v>
      </c>
      <c r="M91" s="3">
        <v>49.0</v>
      </c>
      <c r="N91" s="3">
        <v>15.0</v>
      </c>
      <c r="O91" s="3">
        <v>2.0</v>
      </c>
      <c r="P91" s="3">
        <v>6.0</v>
      </c>
      <c r="Q91" s="3">
        <v>38.0</v>
      </c>
      <c r="R91" s="3">
        <v>1.0</v>
      </c>
      <c r="S91" s="3">
        <v>24.0</v>
      </c>
      <c r="T91" s="3">
        <v>14.0</v>
      </c>
      <c r="U91" s="3">
        <v>21.0</v>
      </c>
      <c r="V91" s="3">
        <v>1.0</v>
      </c>
    </row>
    <row r="92">
      <c r="A92" s="3" t="s">
        <v>190</v>
      </c>
      <c r="B92" s="3" t="s">
        <v>191</v>
      </c>
      <c r="C92" s="3" t="s">
        <v>24</v>
      </c>
      <c r="D92" s="3" t="s">
        <v>47</v>
      </c>
      <c r="E92" s="3">
        <v>0.422</v>
      </c>
      <c r="F92" s="3">
        <v>0.441</v>
      </c>
      <c r="G92" s="3">
        <v>0.511</v>
      </c>
      <c r="H92" s="3">
        <v>0.952</v>
      </c>
      <c r="I92" s="3">
        <v>33.0</v>
      </c>
      <c r="J92" s="3">
        <v>96.0</v>
      </c>
      <c r="K92" s="3">
        <v>90.0</v>
      </c>
      <c r="L92" s="3">
        <v>17.0</v>
      </c>
      <c r="M92" s="3">
        <v>38.0</v>
      </c>
      <c r="N92" s="3">
        <v>4.0</v>
      </c>
      <c r="O92" s="3">
        <v>2.0</v>
      </c>
      <c r="P92" s="3">
        <v>0.0</v>
      </c>
      <c r="Q92" s="3">
        <v>15.0</v>
      </c>
      <c r="R92" s="3">
        <v>0.0</v>
      </c>
      <c r="S92" s="3">
        <v>3.0</v>
      </c>
      <c r="T92" s="3">
        <v>8.0</v>
      </c>
      <c r="U92" s="3">
        <v>5.0</v>
      </c>
      <c r="V92" s="3">
        <v>4.0</v>
      </c>
    </row>
    <row r="93">
      <c r="A93" s="3" t="s">
        <v>192</v>
      </c>
      <c r="B93" s="3" t="s">
        <v>193</v>
      </c>
      <c r="C93" s="3" t="s">
        <v>50</v>
      </c>
      <c r="D93" s="3" t="s">
        <v>34</v>
      </c>
      <c r="E93" s="3">
        <v>0.422</v>
      </c>
      <c r="F93" s="3">
        <v>0.465</v>
      </c>
      <c r="G93" s="3">
        <v>0.556</v>
      </c>
      <c r="H93" s="3">
        <v>1.02</v>
      </c>
      <c r="I93" s="3">
        <v>32.0</v>
      </c>
      <c r="J93" s="3">
        <v>103.0</v>
      </c>
      <c r="K93" s="3">
        <v>90.0</v>
      </c>
      <c r="L93" s="3">
        <v>23.0</v>
      </c>
      <c r="M93" s="3">
        <v>38.0</v>
      </c>
      <c r="N93" s="3">
        <v>6.0</v>
      </c>
      <c r="O93" s="3">
        <v>3.0</v>
      </c>
      <c r="P93" s="3">
        <v>0.0</v>
      </c>
      <c r="Q93" s="3">
        <v>11.0</v>
      </c>
      <c r="R93" s="3">
        <v>0.0</v>
      </c>
      <c r="S93" s="3">
        <v>8.0</v>
      </c>
      <c r="T93" s="3">
        <v>15.0</v>
      </c>
      <c r="U93" s="3">
        <v>5.0</v>
      </c>
      <c r="V93" s="3">
        <v>1.0</v>
      </c>
    </row>
    <row r="94">
      <c r="A94" s="3" t="s">
        <v>194</v>
      </c>
      <c r="B94" s="3" t="s">
        <v>54</v>
      </c>
      <c r="C94" s="3" t="s">
        <v>24</v>
      </c>
      <c r="D94" s="3" t="s">
        <v>98</v>
      </c>
      <c r="E94" s="3">
        <v>0.421</v>
      </c>
      <c r="F94" s="3">
        <v>0.544</v>
      </c>
      <c r="G94" s="3">
        <v>0.889</v>
      </c>
      <c r="H94" s="3">
        <v>1.433</v>
      </c>
      <c r="I94" s="3">
        <v>43.0</v>
      </c>
      <c r="J94" s="3">
        <v>160.0</v>
      </c>
      <c r="K94" s="3">
        <v>126.0</v>
      </c>
      <c r="L94" s="3">
        <v>57.0</v>
      </c>
      <c r="M94" s="3">
        <v>53.0</v>
      </c>
      <c r="N94" s="3">
        <v>11.0</v>
      </c>
      <c r="O94" s="3">
        <v>0.0</v>
      </c>
      <c r="P94" s="3">
        <v>16.0</v>
      </c>
      <c r="Q94" s="3">
        <v>51.0</v>
      </c>
      <c r="R94" s="3">
        <v>2.0</v>
      </c>
      <c r="S94" s="3">
        <v>32.0</v>
      </c>
      <c r="T94" s="3">
        <v>24.0</v>
      </c>
      <c r="U94" s="3">
        <v>4.0</v>
      </c>
      <c r="V94" s="3">
        <v>1.0</v>
      </c>
    </row>
    <row r="95">
      <c r="A95" s="3" t="s">
        <v>195</v>
      </c>
      <c r="B95" s="3" t="s">
        <v>30</v>
      </c>
      <c r="C95" s="3" t="s">
        <v>50</v>
      </c>
      <c r="D95" s="3" t="s">
        <v>38</v>
      </c>
      <c r="E95" s="3">
        <v>0.421</v>
      </c>
      <c r="F95" s="3">
        <v>0.467</v>
      </c>
      <c r="G95" s="3">
        <v>0.853</v>
      </c>
      <c r="H95" s="3">
        <v>1.32</v>
      </c>
      <c r="I95" s="3">
        <v>29.0</v>
      </c>
      <c r="J95" s="3">
        <v>107.0</v>
      </c>
      <c r="K95" s="3">
        <v>95.0</v>
      </c>
      <c r="L95" s="3">
        <v>29.0</v>
      </c>
      <c r="M95" s="3">
        <v>40.0</v>
      </c>
      <c r="N95" s="3">
        <v>9.0</v>
      </c>
      <c r="O95" s="3">
        <v>1.0</v>
      </c>
      <c r="P95" s="3">
        <v>10.0</v>
      </c>
      <c r="Q95" s="3">
        <v>37.0</v>
      </c>
      <c r="R95" s="3">
        <v>1.0</v>
      </c>
      <c r="S95" s="3">
        <v>9.0</v>
      </c>
      <c r="T95" s="3">
        <v>17.0</v>
      </c>
      <c r="U95" s="3">
        <v>3.0</v>
      </c>
      <c r="V95" s="3">
        <v>0.0</v>
      </c>
    </row>
    <row r="96">
      <c r="A96" s="3" t="s">
        <v>196</v>
      </c>
      <c r="B96" s="3" t="s">
        <v>197</v>
      </c>
      <c r="C96" s="3" t="s">
        <v>50</v>
      </c>
      <c r="D96" s="3" t="s">
        <v>13</v>
      </c>
      <c r="E96" s="3">
        <v>0.421</v>
      </c>
      <c r="F96" s="3">
        <v>0.469</v>
      </c>
      <c r="G96" s="3">
        <v>0.598</v>
      </c>
      <c r="H96" s="3">
        <v>1.067</v>
      </c>
      <c r="I96" s="3">
        <v>48.0</v>
      </c>
      <c r="J96" s="3">
        <v>182.0</v>
      </c>
      <c r="K96" s="3">
        <v>164.0</v>
      </c>
      <c r="L96" s="3">
        <v>50.0</v>
      </c>
      <c r="M96" s="3">
        <v>69.0</v>
      </c>
      <c r="N96" s="3">
        <v>11.0</v>
      </c>
      <c r="O96" s="3">
        <v>6.0</v>
      </c>
      <c r="P96" s="3">
        <v>2.0</v>
      </c>
      <c r="Q96" s="3">
        <v>25.0</v>
      </c>
      <c r="R96" s="3">
        <v>0.0</v>
      </c>
      <c r="S96" s="3">
        <v>15.0</v>
      </c>
      <c r="T96" s="3">
        <v>18.0</v>
      </c>
      <c r="U96" s="3">
        <v>19.0</v>
      </c>
      <c r="V96" s="3">
        <v>5.0</v>
      </c>
    </row>
    <row r="97">
      <c r="A97" s="3" t="s">
        <v>198</v>
      </c>
      <c r="B97" s="3" t="s">
        <v>199</v>
      </c>
      <c r="C97" s="3" t="s">
        <v>55</v>
      </c>
      <c r="D97" s="3" t="s">
        <v>47</v>
      </c>
      <c r="E97" s="3">
        <v>0.421</v>
      </c>
      <c r="F97" s="3">
        <v>0.438</v>
      </c>
      <c r="G97" s="3">
        <v>0.46</v>
      </c>
      <c r="H97" s="3">
        <v>0.899</v>
      </c>
      <c r="I97" s="3">
        <v>37.0</v>
      </c>
      <c r="J97" s="3">
        <v>130.0</v>
      </c>
      <c r="K97" s="3">
        <v>126.0</v>
      </c>
      <c r="L97" s="3">
        <v>30.0</v>
      </c>
      <c r="M97" s="3">
        <v>53.0</v>
      </c>
      <c r="N97" s="3">
        <v>3.0</v>
      </c>
      <c r="O97" s="3">
        <v>1.0</v>
      </c>
      <c r="P97" s="3">
        <v>0.0</v>
      </c>
      <c r="Q97" s="3">
        <v>8.0</v>
      </c>
      <c r="R97" s="3">
        <v>0.0</v>
      </c>
      <c r="S97" s="3">
        <v>4.0</v>
      </c>
      <c r="T97" s="3">
        <v>8.0</v>
      </c>
      <c r="U97" s="3">
        <v>11.0</v>
      </c>
      <c r="V97" s="3">
        <v>1.0</v>
      </c>
    </row>
    <row r="98">
      <c r="A98" s="3" t="s">
        <v>200</v>
      </c>
      <c r="B98" s="3" t="s">
        <v>201</v>
      </c>
      <c r="C98" s="3" t="s">
        <v>111</v>
      </c>
      <c r="D98" s="3" t="s">
        <v>38</v>
      </c>
      <c r="E98" s="3">
        <v>0.419</v>
      </c>
      <c r="F98" s="3">
        <v>0.468</v>
      </c>
      <c r="G98" s="3">
        <v>0.814</v>
      </c>
      <c r="H98" s="3">
        <v>1.282</v>
      </c>
      <c r="I98" s="3">
        <v>15.0</v>
      </c>
      <c r="J98" s="3">
        <v>49.0</v>
      </c>
      <c r="K98" s="3">
        <v>43.0</v>
      </c>
      <c r="L98" s="3">
        <v>9.0</v>
      </c>
      <c r="M98" s="3">
        <v>18.0</v>
      </c>
      <c r="N98" s="3">
        <v>5.0</v>
      </c>
      <c r="O98" s="3">
        <v>0.0</v>
      </c>
      <c r="P98" s="3">
        <v>4.0</v>
      </c>
      <c r="Q98" s="3">
        <v>22.0</v>
      </c>
      <c r="R98" s="3">
        <v>2.0</v>
      </c>
      <c r="S98" s="3">
        <v>2.0</v>
      </c>
      <c r="T98" s="3">
        <v>9.0</v>
      </c>
      <c r="U98" s="3">
        <v>1.0</v>
      </c>
      <c r="V98" s="3">
        <v>0.0</v>
      </c>
    </row>
    <row r="99">
      <c r="A99" s="3" t="s">
        <v>202</v>
      </c>
      <c r="B99" s="3" t="s">
        <v>203</v>
      </c>
      <c r="C99" s="3" t="s">
        <v>37</v>
      </c>
      <c r="D99" s="3" t="s">
        <v>25</v>
      </c>
      <c r="E99" s="3">
        <v>0.419</v>
      </c>
      <c r="F99" s="3">
        <v>0.467</v>
      </c>
      <c r="G99" s="3">
        <v>0.419</v>
      </c>
      <c r="H99" s="3">
        <v>0.886</v>
      </c>
      <c r="I99" s="3">
        <v>41.0</v>
      </c>
      <c r="J99" s="3">
        <v>139.0</v>
      </c>
      <c r="K99" s="3">
        <v>124.0</v>
      </c>
      <c r="L99" s="3">
        <v>36.0</v>
      </c>
      <c r="M99" s="3">
        <v>52.0</v>
      </c>
      <c r="N99" s="3">
        <v>0.0</v>
      </c>
      <c r="O99" s="3">
        <v>0.0</v>
      </c>
      <c r="P99" s="3">
        <v>0.0</v>
      </c>
      <c r="Q99" s="3">
        <v>5.0</v>
      </c>
      <c r="R99" s="3">
        <v>0.0</v>
      </c>
      <c r="S99" s="3">
        <v>11.0</v>
      </c>
      <c r="T99" s="3">
        <v>9.0</v>
      </c>
      <c r="U99" s="3">
        <v>6.0</v>
      </c>
      <c r="V99" s="3">
        <v>0.0</v>
      </c>
    </row>
    <row r="100">
      <c r="A100" s="3" t="s">
        <v>204</v>
      </c>
      <c r="B100" s="3" t="s">
        <v>205</v>
      </c>
      <c r="C100" s="3" t="s">
        <v>50</v>
      </c>
      <c r="D100" s="3" t="s">
        <v>34</v>
      </c>
      <c r="E100" s="3">
        <v>0.418</v>
      </c>
      <c r="F100" s="3">
        <v>0.5</v>
      </c>
      <c r="G100" s="3">
        <v>0.745</v>
      </c>
      <c r="H100" s="3">
        <v>1.245</v>
      </c>
      <c r="I100" s="3">
        <v>36.0</v>
      </c>
      <c r="J100" s="3">
        <v>119.0</v>
      </c>
      <c r="K100" s="3">
        <v>98.0</v>
      </c>
      <c r="L100" s="3">
        <v>29.0</v>
      </c>
      <c r="M100" s="3">
        <v>41.0</v>
      </c>
      <c r="N100" s="3">
        <v>6.0</v>
      </c>
      <c r="O100" s="3">
        <v>1.0</v>
      </c>
      <c r="P100" s="3">
        <v>8.0</v>
      </c>
      <c r="Q100" s="3">
        <v>30.0</v>
      </c>
      <c r="R100" s="3">
        <v>1.0</v>
      </c>
      <c r="S100" s="3">
        <v>16.0</v>
      </c>
      <c r="T100" s="3">
        <v>8.0</v>
      </c>
      <c r="U100" s="3">
        <v>9.0</v>
      </c>
      <c r="V100" s="3">
        <v>2.0</v>
      </c>
    </row>
    <row r="101">
      <c r="A101" s="3" t="s">
        <v>206</v>
      </c>
      <c r="B101" s="3" t="s">
        <v>65</v>
      </c>
      <c r="C101" s="3" t="s">
        <v>50</v>
      </c>
      <c r="D101" s="3" t="s">
        <v>28</v>
      </c>
      <c r="E101" s="3">
        <v>0.418</v>
      </c>
      <c r="F101" s="3">
        <v>0.494</v>
      </c>
      <c r="G101" s="3">
        <v>0.731</v>
      </c>
      <c r="H101" s="3">
        <v>1.225</v>
      </c>
      <c r="I101" s="3">
        <v>43.0</v>
      </c>
      <c r="J101" s="3">
        <v>164.0</v>
      </c>
      <c r="K101" s="3">
        <v>134.0</v>
      </c>
      <c r="L101" s="3">
        <v>43.0</v>
      </c>
      <c r="M101" s="3">
        <v>56.0</v>
      </c>
      <c r="N101" s="3">
        <v>12.0</v>
      </c>
      <c r="O101" s="3">
        <v>3.0</v>
      </c>
      <c r="P101" s="3">
        <v>8.0</v>
      </c>
      <c r="Q101" s="3">
        <v>52.0</v>
      </c>
      <c r="R101" s="3">
        <v>10.0</v>
      </c>
      <c r="S101" s="3">
        <v>14.0</v>
      </c>
      <c r="T101" s="3">
        <v>20.0</v>
      </c>
      <c r="U101" s="3">
        <v>10.0</v>
      </c>
      <c r="V101" s="3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12</v>
      </c>
      <c r="N1" s="1" t="s">
        <v>11</v>
      </c>
      <c r="O1" s="1" t="s">
        <v>216</v>
      </c>
      <c r="P1" s="1" t="s">
        <v>18</v>
      </c>
      <c r="Q1" s="1" t="s">
        <v>19</v>
      </c>
      <c r="R1" s="1" t="s">
        <v>17</v>
      </c>
      <c r="S1" s="1" t="s">
        <v>4</v>
      </c>
      <c r="T1" s="2"/>
      <c r="U1" s="2"/>
      <c r="V1" s="2"/>
      <c r="W1" s="2"/>
      <c r="X1" s="2"/>
      <c r="Y1" s="2"/>
      <c r="Z1" s="2"/>
    </row>
    <row r="2">
      <c r="A2" s="3" t="s">
        <v>217</v>
      </c>
      <c r="B2" s="3" t="s">
        <v>79</v>
      </c>
      <c r="C2" s="3" t="s">
        <v>37</v>
      </c>
      <c r="D2" s="3">
        <v>21.0</v>
      </c>
      <c r="E2" s="3">
        <v>1.0</v>
      </c>
      <c r="F2" s="3">
        <v>0.57</v>
      </c>
      <c r="G2" s="3">
        <v>22.0</v>
      </c>
      <c r="H2" s="3">
        <v>22.0</v>
      </c>
      <c r="I2" s="3">
        <v>22.0</v>
      </c>
      <c r="J2" s="3">
        <v>12.0</v>
      </c>
      <c r="K2" s="3">
        <v>0.0</v>
      </c>
      <c r="L2" s="3">
        <v>147.0</v>
      </c>
      <c r="M2" s="3">
        <v>64.0</v>
      </c>
      <c r="N2" s="3">
        <v>17.0</v>
      </c>
      <c r="O2" s="3">
        <v>9.0</v>
      </c>
      <c r="P2" s="3">
        <v>20.0</v>
      </c>
      <c r="Q2" s="3">
        <v>283.0</v>
      </c>
      <c r="R2" s="3">
        <v>1.0</v>
      </c>
      <c r="S2" s="3">
        <v>0.127</v>
      </c>
    </row>
    <row r="3">
      <c r="A3" s="3" t="s">
        <v>105</v>
      </c>
      <c r="B3" s="3" t="s">
        <v>106</v>
      </c>
      <c r="C3" s="3" t="s">
        <v>37</v>
      </c>
      <c r="D3" s="3">
        <v>10.0</v>
      </c>
      <c r="E3" s="3">
        <v>4.0</v>
      </c>
      <c r="F3" s="3">
        <v>1.5</v>
      </c>
      <c r="G3" s="3">
        <v>26.0</v>
      </c>
      <c r="H3" s="3">
        <v>11.0</v>
      </c>
      <c r="I3" s="3">
        <v>8.0</v>
      </c>
      <c r="J3" s="3">
        <v>5.0</v>
      </c>
      <c r="K3" s="3">
        <v>10.0</v>
      </c>
      <c r="L3" s="3">
        <v>102.1</v>
      </c>
      <c r="M3" s="3">
        <v>78.0</v>
      </c>
      <c r="N3" s="3">
        <v>21.0</v>
      </c>
      <c r="O3" s="3">
        <v>17.0</v>
      </c>
      <c r="P3" s="3">
        <v>20.0</v>
      </c>
      <c r="Q3" s="3">
        <v>141.0</v>
      </c>
      <c r="R3" s="3">
        <v>6.0</v>
      </c>
      <c r="S3" s="3">
        <v>0.202</v>
      </c>
    </row>
    <row r="4">
      <c r="A4" s="3" t="s">
        <v>218</v>
      </c>
      <c r="B4" s="3" t="s">
        <v>219</v>
      </c>
      <c r="C4" s="3" t="s">
        <v>37</v>
      </c>
      <c r="D4" s="3">
        <v>10.0</v>
      </c>
      <c r="E4" s="3">
        <v>7.0</v>
      </c>
      <c r="F4" s="3">
        <v>2.09</v>
      </c>
      <c r="G4" s="3">
        <v>21.0</v>
      </c>
      <c r="H4" s="3">
        <v>16.0</v>
      </c>
      <c r="I4" s="3">
        <v>12.0</v>
      </c>
      <c r="J4" s="3">
        <v>3.0</v>
      </c>
      <c r="K4" s="3">
        <v>0.0</v>
      </c>
      <c r="L4" s="3">
        <v>107.1</v>
      </c>
      <c r="M4" s="3">
        <v>80.0</v>
      </c>
      <c r="N4" s="3">
        <v>44.0</v>
      </c>
      <c r="O4" s="3">
        <v>25.0</v>
      </c>
      <c r="P4" s="3">
        <v>52.0</v>
      </c>
      <c r="Q4" s="3">
        <v>89.0</v>
      </c>
      <c r="R4" s="3">
        <v>8.0</v>
      </c>
      <c r="S4" s="3">
        <v>0.208</v>
      </c>
    </row>
    <row r="5">
      <c r="A5" s="3" t="s">
        <v>220</v>
      </c>
      <c r="B5" s="3" t="s">
        <v>221</v>
      </c>
      <c r="C5" s="3" t="s">
        <v>37</v>
      </c>
      <c r="D5" s="3">
        <v>9.0</v>
      </c>
      <c r="E5" s="3">
        <v>4.0</v>
      </c>
      <c r="F5" s="3">
        <v>2.52</v>
      </c>
      <c r="G5" s="3">
        <v>20.0</v>
      </c>
      <c r="H5" s="3">
        <v>13.0</v>
      </c>
      <c r="I5" s="3">
        <v>5.0</v>
      </c>
      <c r="J5" s="3">
        <v>4.0</v>
      </c>
      <c r="K5" s="3">
        <v>0.0</v>
      </c>
      <c r="L5" s="3">
        <v>86.0</v>
      </c>
      <c r="M5" s="3">
        <v>97.0</v>
      </c>
      <c r="N5" s="3">
        <v>36.0</v>
      </c>
      <c r="O5" s="3">
        <v>24.0</v>
      </c>
      <c r="P5" s="3">
        <v>16.0</v>
      </c>
      <c r="Q5" s="3">
        <v>43.0</v>
      </c>
      <c r="R5" s="3">
        <v>9.0</v>
      </c>
      <c r="S5" s="3">
        <v>0.286</v>
      </c>
    </row>
    <row r="6">
      <c r="A6" s="3" t="s">
        <v>222</v>
      </c>
      <c r="B6" s="3" t="s">
        <v>223</v>
      </c>
      <c r="C6" s="3" t="s">
        <v>37</v>
      </c>
      <c r="D6" s="3">
        <v>11.0</v>
      </c>
      <c r="E6" s="3">
        <v>5.0</v>
      </c>
      <c r="F6" s="3">
        <v>2.53</v>
      </c>
      <c r="G6" s="3">
        <v>23.0</v>
      </c>
      <c r="H6" s="3">
        <v>18.0</v>
      </c>
      <c r="I6" s="3">
        <v>10.0</v>
      </c>
      <c r="J6" s="3">
        <v>3.0</v>
      </c>
      <c r="K6" s="3">
        <v>2.0</v>
      </c>
      <c r="L6" s="3">
        <v>102.1</v>
      </c>
      <c r="M6" s="3">
        <v>64.0</v>
      </c>
      <c r="N6" s="3">
        <v>48.0</v>
      </c>
      <c r="O6" s="3">
        <v>29.0</v>
      </c>
      <c r="P6" s="3">
        <v>51.0</v>
      </c>
      <c r="Q6" s="3">
        <v>181.0</v>
      </c>
      <c r="R6" s="3">
        <v>7.0</v>
      </c>
      <c r="S6" s="3">
        <v>0.173</v>
      </c>
    </row>
    <row r="7">
      <c r="A7" s="3" t="s">
        <v>224</v>
      </c>
      <c r="B7" s="3" t="s">
        <v>225</v>
      </c>
      <c r="C7" s="3" t="s">
        <v>111</v>
      </c>
      <c r="D7" s="3">
        <v>1.0</v>
      </c>
      <c r="E7" s="3">
        <v>4.0</v>
      </c>
      <c r="F7" s="3">
        <v>2.7</v>
      </c>
      <c r="G7" s="3">
        <v>22.0</v>
      </c>
      <c r="H7" s="3">
        <v>1.0</v>
      </c>
      <c r="I7" s="3">
        <v>0.0</v>
      </c>
      <c r="J7" s="3">
        <v>0.0</v>
      </c>
      <c r="K7" s="3">
        <v>5.0</v>
      </c>
      <c r="L7" s="3">
        <v>47.2</v>
      </c>
      <c r="M7" s="3">
        <v>36.0</v>
      </c>
      <c r="N7" s="3">
        <v>25.0</v>
      </c>
      <c r="O7" s="3">
        <v>14.0</v>
      </c>
      <c r="P7" s="3">
        <v>11.0</v>
      </c>
      <c r="Q7" s="3">
        <v>26.0</v>
      </c>
      <c r="R7" s="3">
        <v>4.0</v>
      </c>
      <c r="S7" s="3">
        <v>0.207</v>
      </c>
    </row>
    <row r="8">
      <c r="A8" s="3" t="s">
        <v>226</v>
      </c>
      <c r="B8" s="3" t="s">
        <v>227</v>
      </c>
      <c r="C8" s="3" t="s">
        <v>37</v>
      </c>
      <c r="D8" s="3">
        <v>11.0</v>
      </c>
      <c r="E8" s="3">
        <v>1.0</v>
      </c>
      <c r="F8" s="3">
        <v>2.83</v>
      </c>
      <c r="G8" s="3">
        <v>19.0</v>
      </c>
      <c r="H8" s="3">
        <v>11.0</v>
      </c>
      <c r="I8" s="3">
        <v>4.0</v>
      </c>
      <c r="J8" s="3">
        <v>1.0</v>
      </c>
      <c r="K8" s="3">
        <v>0.0</v>
      </c>
      <c r="L8" s="3">
        <v>59.1</v>
      </c>
      <c r="M8" s="3">
        <v>57.0</v>
      </c>
      <c r="N8" s="3">
        <v>30.0</v>
      </c>
      <c r="O8" s="3">
        <v>19.0</v>
      </c>
      <c r="P8" s="3">
        <v>15.0</v>
      </c>
      <c r="Q8" s="3">
        <v>28.0</v>
      </c>
      <c r="R8" s="3">
        <v>4.0</v>
      </c>
      <c r="S8" s="3">
        <v>0.249</v>
      </c>
    </row>
    <row r="9">
      <c r="A9" s="3" t="s">
        <v>228</v>
      </c>
      <c r="B9" s="3" t="s">
        <v>229</v>
      </c>
      <c r="C9" s="3" t="s">
        <v>111</v>
      </c>
      <c r="D9" s="3">
        <v>7.0</v>
      </c>
      <c r="E9" s="3">
        <v>3.0</v>
      </c>
      <c r="F9" s="3">
        <v>2.85</v>
      </c>
      <c r="G9" s="3">
        <v>15.0</v>
      </c>
      <c r="H9" s="3">
        <v>12.0</v>
      </c>
      <c r="I9" s="3">
        <v>5.0</v>
      </c>
      <c r="J9" s="3">
        <v>2.0</v>
      </c>
      <c r="K9" s="3">
        <v>0.0</v>
      </c>
      <c r="L9" s="3">
        <v>71.1</v>
      </c>
      <c r="M9" s="3">
        <v>62.0</v>
      </c>
      <c r="N9" s="3">
        <v>30.0</v>
      </c>
      <c r="O9" s="3">
        <v>23.0</v>
      </c>
      <c r="P9" s="3">
        <v>33.0</v>
      </c>
      <c r="Q9" s="3">
        <v>53.0</v>
      </c>
      <c r="R9" s="3">
        <v>2.0</v>
      </c>
      <c r="S9" s="3">
        <v>0.239</v>
      </c>
    </row>
    <row r="10">
      <c r="A10" s="3" t="s">
        <v>230</v>
      </c>
      <c r="B10" s="3" t="s">
        <v>231</v>
      </c>
      <c r="C10" s="3" t="s">
        <v>111</v>
      </c>
      <c r="D10" s="3">
        <v>12.0</v>
      </c>
      <c r="E10" s="3">
        <v>5.0</v>
      </c>
      <c r="F10" s="3">
        <v>3.6</v>
      </c>
      <c r="G10" s="3">
        <v>19.0</v>
      </c>
      <c r="H10" s="3">
        <v>15.0</v>
      </c>
      <c r="I10" s="3">
        <v>9.0</v>
      </c>
      <c r="J10" s="3">
        <v>1.0</v>
      </c>
      <c r="K10" s="3">
        <v>0.0</v>
      </c>
      <c r="L10" s="3">
        <v>101.0</v>
      </c>
      <c r="M10" s="3">
        <v>102.0</v>
      </c>
      <c r="N10" s="3">
        <v>58.0</v>
      </c>
      <c r="O10" s="3">
        <v>40.0</v>
      </c>
      <c r="P10" s="3">
        <v>52.0</v>
      </c>
      <c r="Q10" s="3">
        <v>44.0</v>
      </c>
      <c r="R10" s="3">
        <v>11.0</v>
      </c>
      <c r="S10" s="3">
        <v>0.261</v>
      </c>
    </row>
    <row r="11">
      <c r="A11" s="3" t="s">
        <v>232</v>
      </c>
      <c r="B11" s="3" t="s">
        <v>233</v>
      </c>
      <c r="C11" s="3" t="s">
        <v>111</v>
      </c>
      <c r="D11" s="3">
        <v>4.0</v>
      </c>
      <c r="E11" s="3">
        <v>7.0</v>
      </c>
      <c r="F11" s="3">
        <v>3.71</v>
      </c>
      <c r="G11" s="3">
        <v>30.0</v>
      </c>
      <c r="H11" s="3">
        <v>13.0</v>
      </c>
      <c r="I11" s="3">
        <v>0.0</v>
      </c>
      <c r="J11" s="3">
        <v>0.0</v>
      </c>
      <c r="K11" s="3">
        <v>8.0</v>
      </c>
      <c r="L11" s="3">
        <v>83.0</v>
      </c>
      <c r="M11" s="3">
        <v>85.0</v>
      </c>
      <c r="N11" s="3">
        <v>49.0</v>
      </c>
      <c r="O11" s="3">
        <v>34.0</v>
      </c>
      <c r="P11" s="3">
        <v>14.0</v>
      </c>
      <c r="Q11" s="3">
        <v>57.0</v>
      </c>
      <c r="R11" s="3">
        <v>7.0</v>
      </c>
      <c r="S11" s="3">
        <v>0.258</v>
      </c>
    </row>
    <row r="12">
      <c r="A12" s="3" t="s">
        <v>234</v>
      </c>
      <c r="B12" s="3" t="s">
        <v>62</v>
      </c>
      <c r="C12" s="3" t="s">
        <v>111</v>
      </c>
      <c r="D12" s="3">
        <v>15.0</v>
      </c>
      <c r="E12" s="3">
        <v>6.0</v>
      </c>
      <c r="F12" s="3">
        <v>3.75</v>
      </c>
      <c r="G12" s="3">
        <v>27.0</v>
      </c>
      <c r="H12" s="3">
        <v>22.0</v>
      </c>
      <c r="I12" s="3">
        <v>11.0</v>
      </c>
      <c r="J12" s="3">
        <v>1.0</v>
      </c>
      <c r="K12" s="3">
        <v>1.0</v>
      </c>
      <c r="L12" s="3">
        <v>127.0</v>
      </c>
      <c r="M12" s="3">
        <v>143.0</v>
      </c>
      <c r="N12" s="3">
        <v>83.0</v>
      </c>
      <c r="O12" s="3">
        <v>53.0</v>
      </c>
      <c r="P12" s="3">
        <v>55.0</v>
      </c>
      <c r="Q12" s="3">
        <v>85.0</v>
      </c>
      <c r="R12" s="3">
        <v>15.0</v>
      </c>
      <c r="S12" s="3">
        <v>0.276</v>
      </c>
    </row>
    <row r="13">
      <c r="A13" s="3" t="s">
        <v>235</v>
      </c>
      <c r="B13" s="3" t="s">
        <v>236</v>
      </c>
      <c r="C13" s="3" t="s">
        <v>111</v>
      </c>
      <c r="D13" s="3">
        <v>6.0</v>
      </c>
      <c r="E13" s="3">
        <v>8.0</v>
      </c>
      <c r="F13" s="3">
        <v>3.78</v>
      </c>
      <c r="G13" s="3">
        <v>22.0</v>
      </c>
      <c r="H13" s="3">
        <v>12.0</v>
      </c>
      <c r="I13" s="3">
        <v>3.0</v>
      </c>
      <c r="J13" s="3">
        <v>3.0</v>
      </c>
      <c r="K13" s="3">
        <v>1.0</v>
      </c>
      <c r="L13" s="3">
        <v>63.1</v>
      </c>
      <c r="M13" s="3">
        <v>58.0</v>
      </c>
      <c r="N13" s="3">
        <v>39.0</v>
      </c>
      <c r="O13" s="3">
        <v>27.0</v>
      </c>
      <c r="P13" s="3">
        <v>45.0</v>
      </c>
      <c r="Q13" s="3">
        <v>59.0</v>
      </c>
      <c r="R13" s="3">
        <v>8.0</v>
      </c>
      <c r="S13" s="3">
        <v>0.235</v>
      </c>
    </row>
    <row r="14">
      <c r="A14" s="3" t="s">
        <v>237</v>
      </c>
      <c r="B14" s="3" t="s">
        <v>238</v>
      </c>
      <c r="C14" s="3" t="s">
        <v>37</v>
      </c>
      <c r="D14" s="3">
        <v>10.0</v>
      </c>
      <c r="E14" s="3">
        <v>11.0</v>
      </c>
      <c r="F14" s="3">
        <v>3.79</v>
      </c>
      <c r="G14" s="3">
        <v>25.0</v>
      </c>
      <c r="H14" s="3">
        <v>20.0</v>
      </c>
      <c r="I14" s="3">
        <v>9.0</v>
      </c>
      <c r="J14" s="3">
        <v>2.0</v>
      </c>
      <c r="K14" s="3">
        <v>1.0</v>
      </c>
      <c r="L14" s="3">
        <v>109.0</v>
      </c>
      <c r="M14" s="3">
        <v>122.0</v>
      </c>
      <c r="N14" s="3">
        <v>76.0</v>
      </c>
      <c r="O14" s="3">
        <v>46.0</v>
      </c>
      <c r="P14" s="3">
        <v>52.0</v>
      </c>
      <c r="Q14" s="3">
        <v>94.0</v>
      </c>
      <c r="R14" s="3">
        <v>8.0</v>
      </c>
      <c r="S14" s="3">
        <v>0.272</v>
      </c>
    </row>
    <row r="15">
      <c r="A15" s="3" t="s">
        <v>239</v>
      </c>
      <c r="B15" s="3" t="s">
        <v>240</v>
      </c>
      <c r="C15" s="3" t="s">
        <v>37</v>
      </c>
      <c r="D15" s="3">
        <v>4.0</v>
      </c>
      <c r="E15" s="3">
        <v>2.0</v>
      </c>
      <c r="F15" s="3">
        <v>3.87</v>
      </c>
      <c r="G15" s="3">
        <v>19.0</v>
      </c>
      <c r="H15" s="3">
        <v>11.0</v>
      </c>
      <c r="I15" s="3">
        <v>0.0</v>
      </c>
      <c r="J15" s="3">
        <v>0.0</v>
      </c>
      <c r="K15" s="3">
        <v>2.0</v>
      </c>
      <c r="L15" s="3">
        <v>47.0</v>
      </c>
      <c r="M15" s="3">
        <v>46.0</v>
      </c>
      <c r="N15" s="3">
        <v>31.0</v>
      </c>
      <c r="O15" s="3">
        <v>20.0</v>
      </c>
      <c r="P15" s="3">
        <v>20.0</v>
      </c>
      <c r="Q15" s="3">
        <v>48.0</v>
      </c>
      <c r="R15" s="3">
        <v>4.0</v>
      </c>
      <c r="S15" s="3">
        <v>0.249</v>
      </c>
    </row>
    <row r="16">
      <c r="A16" s="3" t="s">
        <v>241</v>
      </c>
      <c r="B16" s="3" t="s">
        <v>242</v>
      </c>
      <c r="C16" s="3" t="s">
        <v>37</v>
      </c>
      <c r="D16" s="3">
        <v>8.0</v>
      </c>
      <c r="E16" s="3">
        <v>10.0</v>
      </c>
      <c r="F16" s="3">
        <v>3.97</v>
      </c>
      <c r="G16" s="3">
        <v>20.0</v>
      </c>
      <c r="H16" s="3">
        <v>19.0</v>
      </c>
      <c r="I16" s="3">
        <v>10.0</v>
      </c>
      <c r="J16" s="3">
        <v>1.0</v>
      </c>
      <c r="K16" s="3">
        <v>0.0</v>
      </c>
      <c r="L16" s="3">
        <v>107.2</v>
      </c>
      <c r="M16" s="3">
        <v>120.0</v>
      </c>
      <c r="N16" s="3">
        <v>70.0</v>
      </c>
      <c r="O16" s="3">
        <v>47.0</v>
      </c>
      <c r="P16" s="3">
        <v>34.0</v>
      </c>
      <c r="Q16" s="3">
        <v>91.0</v>
      </c>
      <c r="R16" s="3">
        <v>11.0</v>
      </c>
      <c r="S16" s="3">
        <v>0.28</v>
      </c>
    </row>
    <row r="17">
      <c r="A17" s="3" t="s">
        <v>243</v>
      </c>
      <c r="B17" s="3" t="s">
        <v>244</v>
      </c>
      <c r="C17" s="3" t="s">
        <v>37</v>
      </c>
      <c r="D17" s="3">
        <v>10.0</v>
      </c>
      <c r="E17" s="3">
        <v>8.0</v>
      </c>
      <c r="F17" s="3">
        <v>4.0</v>
      </c>
      <c r="G17" s="3">
        <v>25.0</v>
      </c>
      <c r="H17" s="3">
        <v>15.0</v>
      </c>
      <c r="I17" s="3">
        <v>6.0</v>
      </c>
      <c r="J17" s="3">
        <v>3.0</v>
      </c>
      <c r="K17" s="3">
        <v>0.0</v>
      </c>
      <c r="L17" s="3">
        <v>99.2</v>
      </c>
      <c r="M17" s="3">
        <v>106.0</v>
      </c>
      <c r="N17" s="3">
        <v>68.0</v>
      </c>
      <c r="O17" s="3">
        <v>44.0</v>
      </c>
      <c r="P17" s="3">
        <v>53.0</v>
      </c>
      <c r="Q17" s="3">
        <v>95.0</v>
      </c>
      <c r="R17" s="3">
        <v>2.0</v>
      </c>
      <c r="S17" s="3">
        <v>0.266</v>
      </c>
    </row>
    <row r="18">
      <c r="A18" s="3" t="s">
        <v>245</v>
      </c>
      <c r="B18" s="3" t="s">
        <v>246</v>
      </c>
      <c r="C18" s="3" t="s">
        <v>111</v>
      </c>
      <c r="D18" s="3">
        <v>7.0</v>
      </c>
      <c r="E18" s="3">
        <v>6.0</v>
      </c>
      <c r="F18" s="3">
        <v>4.02</v>
      </c>
      <c r="G18" s="3">
        <v>24.0</v>
      </c>
      <c r="H18" s="3">
        <v>14.0</v>
      </c>
      <c r="I18" s="3">
        <v>3.0</v>
      </c>
      <c r="J18" s="3">
        <v>0.0</v>
      </c>
      <c r="K18" s="3">
        <v>1.0</v>
      </c>
      <c r="L18" s="3">
        <v>83.2</v>
      </c>
      <c r="M18" s="3">
        <v>90.0</v>
      </c>
      <c r="N18" s="3">
        <v>66.0</v>
      </c>
      <c r="O18" s="3">
        <v>37.0</v>
      </c>
      <c r="P18" s="3">
        <v>25.0</v>
      </c>
      <c r="Q18" s="3">
        <v>59.0</v>
      </c>
      <c r="R18" s="3">
        <v>12.0</v>
      </c>
      <c r="S18" s="3">
        <v>0.265</v>
      </c>
    </row>
    <row r="19">
      <c r="A19" s="3" t="s">
        <v>247</v>
      </c>
      <c r="B19" s="3" t="s">
        <v>248</v>
      </c>
      <c r="C19" s="3" t="s">
        <v>37</v>
      </c>
      <c r="D19" s="3">
        <v>5.0</v>
      </c>
      <c r="E19" s="3">
        <v>11.0</v>
      </c>
      <c r="F19" s="3">
        <v>4.04</v>
      </c>
      <c r="G19" s="3">
        <v>23.0</v>
      </c>
      <c r="H19" s="3">
        <v>19.0</v>
      </c>
      <c r="I19" s="3">
        <v>8.0</v>
      </c>
      <c r="J19" s="3">
        <v>0.0</v>
      </c>
      <c r="K19" s="3">
        <v>0.0</v>
      </c>
      <c r="L19" s="3">
        <v>116.0</v>
      </c>
      <c r="M19" s="3">
        <v>130.0</v>
      </c>
      <c r="N19" s="3">
        <v>95.0</v>
      </c>
      <c r="O19" s="3">
        <v>52.0</v>
      </c>
      <c r="P19" s="3">
        <v>57.0</v>
      </c>
      <c r="Q19" s="3">
        <v>79.0</v>
      </c>
      <c r="R19" s="3">
        <v>10.0</v>
      </c>
      <c r="S19" s="3">
        <v>0.278</v>
      </c>
    </row>
    <row r="20">
      <c r="A20" s="3" t="s">
        <v>249</v>
      </c>
      <c r="B20" s="3" t="s">
        <v>250</v>
      </c>
      <c r="C20" s="3" t="s">
        <v>37</v>
      </c>
      <c r="D20" s="3">
        <v>3.0</v>
      </c>
      <c r="E20" s="3">
        <v>2.0</v>
      </c>
      <c r="F20" s="3">
        <v>4.14</v>
      </c>
      <c r="G20" s="3">
        <v>16.0</v>
      </c>
      <c r="H20" s="3">
        <v>7.0</v>
      </c>
      <c r="I20" s="3">
        <v>1.0</v>
      </c>
      <c r="J20" s="3">
        <v>0.0</v>
      </c>
      <c r="K20" s="3">
        <v>0.0</v>
      </c>
      <c r="L20" s="3">
        <v>44.0</v>
      </c>
      <c r="M20" s="3">
        <v>45.0</v>
      </c>
      <c r="N20" s="3">
        <v>32.0</v>
      </c>
      <c r="O20" s="3">
        <v>20.0</v>
      </c>
      <c r="P20" s="3">
        <v>28.0</v>
      </c>
      <c r="Q20" s="3">
        <v>31.0</v>
      </c>
      <c r="R20" s="3">
        <v>9.0</v>
      </c>
      <c r="S20" s="3">
        <v>0.265</v>
      </c>
    </row>
    <row r="21">
      <c r="A21" s="3" t="s">
        <v>251</v>
      </c>
      <c r="B21" s="3" t="s">
        <v>60</v>
      </c>
      <c r="C21" s="3" t="s">
        <v>111</v>
      </c>
      <c r="D21" s="3">
        <v>10.0</v>
      </c>
      <c r="E21" s="3">
        <v>7.0</v>
      </c>
      <c r="F21" s="3">
        <v>4.18</v>
      </c>
      <c r="G21" s="3">
        <v>19.0</v>
      </c>
      <c r="H21" s="3">
        <v>15.0</v>
      </c>
      <c r="I21" s="3">
        <v>8.0</v>
      </c>
      <c r="J21" s="3">
        <v>1.0</v>
      </c>
      <c r="K21" s="3">
        <v>0.0</v>
      </c>
      <c r="L21" s="3">
        <v>92.0</v>
      </c>
      <c r="M21" s="3">
        <v>109.0</v>
      </c>
      <c r="N21" s="3">
        <v>81.0</v>
      </c>
      <c r="O21" s="3">
        <v>43.0</v>
      </c>
      <c r="P21" s="3">
        <v>37.0</v>
      </c>
      <c r="Q21" s="3">
        <v>56.0</v>
      </c>
      <c r="R21" s="3">
        <v>3.0</v>
      </c>
      <c r="S21" s="3">
        <v>0.278</v>
      </c>
    </row>
    <row r="22">
      <c r="A22" s="3" t="s">
        <v>252</v>
      </c>
      <c r="B22" s="3" t="s">
        <v>250</v>
      </c>
      <c r="C22" s="3" t="s">
        <v>24</v>
      </c>
      <c r="D22" s="3">
        <v>7.0</v>
      </c>
      <c r="E22" s="3">
        <v>9.0</v>
      </c>
      <c r="F22" s="3">
        <v>4.71</v>
      </c>
      <c r="G22" s="3">
        <v>25.0</v>
      </c>
      <c r="H22" s="3">
        <v>15.0</v>
      </c>
      <c r="I22" s="3">
        <v>4.0</v>
      </c>
      <c r="J22" s="3">
        <v>0.0</v>
      </c>
      <c r="K22" s="3">
        <v>1.0</v>
      </c>
      <c r="L22" s="3">
        <v>93.2</v>
      </c>
      <c r="M22" s="3">
        <v>114.0</v>
      </c>
      <c r="N22" s="3">
        <v>73.0</v>
      </c>
      <c r="O22" s="3">
        <v>49.0</v>
      </c>
      <c r="P22" s="3">
        <v>37.0</v>
      </c>
      <c r="Q22" s="3">
        <v>56.0</v>
      </c>
      <c r="R22" s="3">
        <v>12.0</v>
      </c>
      <c r="S22" s="3">
        <v>0.299</v>
      </c>
    </row>
    <row r="23">
      <c r="A23" s="3" t="s">
        <v>253</v>
      </c>
      <c r="B23" s="3" t="s">
        <v>141</v>
      </c>
      <c r="C23" s="3" t="s">
        <v>37</v>
      </c>
      <c r="D23" s="3">
        <v>9.0</v>
      </c>
      <c r="E23" s="3">
        <v>7.0</v>
      </c>
      <c r="F23" s="3">
        <v>5.41</v>
      </c>
      <c r="G23" s="3">
        <v>25.0</v>
      </c>
      <c r="H23" s="3">
        <v>13.0</v>
      </c>
      <c r="I23" s="3">
        <v>3.0</v>
      </c>
      <c r="J23" s="3">
        <v>0.0</v>
      </c>
      <c r="K23" s="3">
        <v>2.0</v>
      </c>
      <c r="L23" s="3">
        <v>79.0</v>
      </c>
      <c r="M23" s="3">
        <v>96.0</v>
      </c>
      <c r="N23" s="3">
        <v>69.0</v>
      </c>
      <c r="O23" s="3">
        <v>47.0</v>
      </c>
      <c r="P23" s="3">
        <v>63.0</v>
      </c>
      <c r="Q23" s="3">
        <v>64.0</v>
      </c>
      <c r="R23" s="3">
        <v>6.0</v>
      </c>
      <c r="S23" s="3">
        <v>0.311</v>
      </c>
    </row>
    <row r="24">
      <c r="A24" s="3" t="s">
        <v>254</v>
      </c>
      <c r="B24" s="3" t="s">
        <v>255</v>
      </c>
      <c r="C24" s="3" t="s">
        <v>111</v>
      </c>
      <c r="D24" s="3">
        <v>3.0</v>
      </c>
      <c r="E24" s="3">
        <v>5.0</v>
      </c>
      <c r="F24" s="3">
        <v>5.52</v>
      </c>
      <c r="G24" s="3">
        <v>22.0</v>
      </c>
      <c r="H24" s="3">
        <v>10.0</v>
      </c>
      <c r="I24" s="3">
        <v>0.0</v>
      </c>
      <c r="J24" s="3">
        <v>0.0</v>
      </c>
      <c r="K24" s="3">
        <v>2.0</v>
      </c>
      <c r="L24" s="3">
        <v>52.0</v>
      </c>
      <c r="M24" s="3">
        <v>47.0</v>
      </c>
      <c r="N24" s="3">
        <v>44.0</v>
      </c>
      <c r="O24" s="3">
        <v>32.0</v>
      </c>
      <c r="P24" s="3">
        <v>36.0</v>
      </c>
      <c r="Q24" s="3">
        <v>44.0</v>
      </c>
      <c r="R24" s="3">
        <v>7.0</v>
      </c>
      <c r="S24" s="3">
        <v>0.235</v>
      </c>
    </row>
    <row r="25">
      <c r="A25" s="3" t="s">
        <v>256</v>
      </c>
      <c r="B25" s="3" t="s">
        <v>257</v>
      </c>
      <c r="C25" s="3" t="s">
        <v>37</v>
      </c>
      <c r="D25" s="3">
        <v>7.0</v>
      </c>
      <c r="E25" s="3">
        <v>5.0</v>
      </c>
      <c r="F25" s="3">
        <v>5.96</v>
      </c>
      <c r="G25" s="3">
        <v>18.0</v>
      </c>
      <c r="H25" s="3">
        <v>12.0</v>
      </c>
      <c r="I25" s="3">
        <v>3.0</v>
      </c>
      <c r="J25" s="3">
        <v>1.0</v>
      </c>
      <c r="K25" s="3">
        <v>0.0</v>
      </c>
      <c r="L25" s="3">
        <v>54.0</v>
      </c>
      <c r="M25" s="3">
        <v>68.0</v>
      </c>
      <c r="N25" s="3">
        <v>49.0</v>
      </c>
      <c r="O25" s="3">
        <v>36.0</v>
      </c>
      <c r="P25" s="3">
        <v>20.0</v>
      </c>
      <c r="Q25" s="3">
        <v>36.0</v>
      </c>
      <c r="R25" s="3">
        <v>3.0</v>
      </c>
      <c r="S25" s="3">
        <v>0.298</v>
      </c>
    </row>
    <row r="26">
      <c r="A26" s="3" t="s">
        <v>258</v>
      </c>
      <c r="B26" s="3" t="s">
        <v>259</v>
      </c>
      <c r="C26" s="3" t="s">
        <v>37</v>
      </c>
      <c r="D26" s="3">
        <v>3.0</v>
      </c>
      <c r="E26" s="3">
        <v>4.0</v>
      </c>
      <c r="F26" s="3">
        <v>7.18</v>
      </c>
      <c r="G26" s="3">
        <v>16.0</v>
      </c>
      <c r="H26" s="3">
        <v>6.0</v>
      </c>
      <c r="I26" s="3">
        <v>1.0</v>
      </c>
      <c r="J26" s="3">
        <v>1.0</v>
      </c>
      <c r="K26" s="3">
        <v>1.0</v>
      </c>
      <c r="L26" s="3">
        <v>50.2</v>
      </c>
      <c r="M26" s="3">
        <v>73.0</v>
      </c>
      <c r="N26" s="3">
        <v>58.0</v>
      </c>
      <c r="O26" s="3">
        <v>40.0</v>
      </c>
      <c r="P26" s="3">
        <v>30.0</v>
      </c>
      <c r="Q26" s="3">
        <v>37.0</v>
      </c>
      <c r="R26" s="3">
        <v>4.0</v>
      </c>
      <c r="S26" s="3">
        <v>0.338</v>
      </c>
    </row>
    <row r="27">
      <c r="A27" s="3" t="s">
        <v>260</v>
      </c>
      <c r="B27" s="3" t="s">
        <v>261</v>
      </c>
      <c r="C27" s="3" t="s">
        <v>37</v>
      </c>
      <c r="D27" s="3">
        <v>1.0</v>
      </c>
      <c r="E27" s="3">
        <v>3.0</v>
      </c>
      <c r="F27" s="3">
        <v>8.37</v>
      </c>
      <c r="G27" s="3">
        <v>25.0</v>
      </c>
      <c r="H27" s="3">
        <v>2.0</v>
      </c>
      <c r="I27" s="3">
        <v>1.0</v>
      </c>
      <c r="J27" s="3">
        <v>1.0</v>
      </c>
      <c r="K27" s="3">
        <v>2.0</v>
      </c>
      <c r="L27" s="3">
        <v>49.0</v>
      </c>
      <c r="M27" s="3">
        <v>65.0</v>
      </c>
      <c r="N27" s="3">
        <v>57.0</v>
      </c>
      <c r="O27" s="3">
        <v>46.0</v>
      </c>
      <c r="P27" s="3">
        <v>32.0</v>
      </c>
      <c r="Q27" s="3">
        <v>20.0</v>
      </c>
      <c r="R27" s="3">
        <v>2.0</v>
      </c>
      <c r="S27" s="3">
        <v>0.304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1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</row>
    <row r="2">
      <c r="A2" s="3">
        <v>1.0</v>
      </c>
      <c r="B2" s="3" t="s">
        <v>54</v>
      </c>
      <c r="C2" s="3">
        <v>0.416</v>
      </c>
      <c r="D2" s="3">
        <v>0.511</v>
      </c>
      <c r="E2" s="3">
        <v>0.853</v>
      </c>
      <c r="F2" s="3">
        <v>1.365</v>
      </c>
      <c r="G2" s="3">
        <v>44.0</v>
      </c>
      <c r="H2" s="3">
        <v>1484.0</v>
      </c>
      <c r="I2" s="3">
        <v>1215.0</v>
      </c>
      <c r="J2" s="3">
        <v>498.0</v>
      </c>
      <c r="K2" s="3">
        <v>506.0</v>
      </c>
      <c r="L2" s="3">
        <v>69.0</v>
      </c>
      <c r="M2" s="3">
        <v>6.0</v>
      </c>
      <c r="N2" s="3">
        <v>150.0</v>
      </c>
      <c r="O2" s="3">
        <v>484.0</v>
      </c>
      <c r="P2" s="3">
        <v>28.0</v>
      </c>
      <c r="Q2" s="3">
        <v>221.0</v>
      </c>
      <c r="R2" s="3">
        <v>155.0</v>
      </c>
      <c r="S2" s="3">
        <v>57.0</v>
      </c>
      <c r="T2" s="3">
        <v>9.0</v>
      </c>
    </row>
    <row r="3">
      <c r="A3" s="3">
        <v>2.0</v>
      </c>
      <c r="B3" s="3" t="s">
        <v>33</v>
      </c>
      <c r="C3" s="3">
        <v>0.398</v>
      </c>
      <c r="D3" s="3">
        <v>0.493</v>
      </c>
      <c r="E3" s="3">
        <v>0.744</v>
      </c>
      <c r="F3" s="3">
        <v>1.237</v>
      </c>
      <c r="G3" s="3">
        <v>45.0</v>
      </c>
      <c r="H3" s="3">
        <v>1400.0</v>
      </c>
      <c r="I3" s="3">
        <v>1134.0</v>
      </c>
      <c r="J3" s="3">
        <v>449.0</v>
      </c>
      <c r="K3" s="3">
        <v>451.0</v>
      </c>
      <c r="L3" s="3">
        <v>80.0</v>
      </c>
      <c r="M3" s="3">
        <v>11.0</v>
      </c>
      <c r="N3" s="3">
        <v>97.0</v>
      </c>
      <c r="O3" s="3">
        <v>411.0</v>
      </c>
      <c r="P3" s="3">
        <v>26.0</v>
      </c>
      <c r="Q3" s="3">
        <v>209.0</v>
      </c>
      <c r="R3" s="3">
        <v>102.0</v>
      </c>
      <c r="S3" s="3">
        <v>101.0</v>
      </c>
      <c r="T3" s="3">
        <v>16.0</v>
      </c>
    </row>
    <row r="4">
      <c r="A4" s="3">
        <v>3.0</v>
      </c>
      <c r="B4" s="3" t="s">
        <v>36</v>
      </c>
      <c r="C4" s="3">
        <v>0.385</v>
      </c>
      <c r="D4" s="3">
        <v>0.496</v>
      </c>
      <c r="E4" s="3">
        <v>0.827</v>
      </c>
      <c r="F4" s="3">
        <v>1.323</v>
      </c>
      <c r="G4" s="3">
        <v>43.0</v>
      </c>
      <c r="H4" s="3">
        <v>1457.0</v>
      </c>
      <c r="I4" s="3">
        <v>1160.0</v>
      </c>
      <c r="J4" s="3">
        <v>471.0</v>
      </c>
      <c r="K4" s="3">
        <v>447.0</v>
      </c>
      <c r="L4" s="3">
        <v>78.0</v>
      </c>
      <c r="M4" s="3">
        <v>7.0</v>
      </c>
      <c r="N4" s="3">
        <v>140.0</v>
      </c>
      <c r="O4" s="3">
        <v>453.0</v>
      </c>
      <c r="P4" s="3">
        <v>51.0</v>
      </c>
      <c r="Q4" s="3">
        <v>223.0</v>
      </c>
      <c r="R4" s="3">
        <v>164.0</v>
      </c>
      <c r="S4" s="3">
        <v>14.0</v>
      </c>
      <c r="T4" s="3">
        <v>3.0</v>
      </c>
    </row>
    <row r="5">
      <c r="A5" s="3">
        <v>4.0</v>
      </c>
      <c r="B5" s="3" t="s">
        <v>262</v>
      </c>
      <c r="C5" s="3">
        <v>0.366</v>
      </c>
      <c r="D5" s="3">
        <v>0.467</v>
      </c>
      <c r="E5" s="3">
        <v>0.625</v>
      </c>
      <c r="F5" s="3">
        <v>1.093</v>
      </c>
      <c r="G5" s="3">
        <v>41.0</v>
      </c>
      <c r="H5" s="3">
        <v>1283.0</v>
      </c>
      <c r="I5" s="3">
        <v>1052.0</v>
      </c>
      <c r="J5" s="3">
        <v>353.0</v>
      </c>
      <c r="K5" s="3">
        <v>385.0</v>
      </c>
      <c r="L5" s="3">
        <v>76.0</v>
      </c>
      <c r="M5" s="3">
        <v>4.0</v>
      </c>
      <c r="N5" s="3">
        <v>63.0</v>
      </c>
      <c r="O5" s="3">
        <v>323.0</v>
      </c>
      <c r="P5" s="3">
        <v>32.0</v>
      </c>
      <c r="Q5" s="3">
        <v>179.0</v>
      </c>
      <c r="R5" s="3">
        <v>136.0</v>
      </c>
      <c r="S5" s="3">
        <v>31.0</v>
      </c>
      <c r="T5" s="3">
        <v>2.0</v>
      </c>
    </row>
    <row r="6">
      <c r="A6" s="3">
        <v>5.0</v>
      </c>
      <c r="B6" s="3" t="s">
        <v>74</v>
      </c>
      <c r="C6" s="3">
        <v>0.365</v>
      </c>
      <c r="D6" s="3">
        <v>0.463</v>
      </c>
      <c r="E6" s="3">
        <v>0.644</v>
      </c>
      <c r="F6" s="3">
        <v>1.107</v>
      </c>
      <c r="G6" s="3">
        <v>45.0</v>
      </c>
      <c r="H6" s="3">
        <v>1500.0</v>
      </c>
      <c r="I6" s="3">
        <v>1235.0</v>
      </c>
      <c r="J6" s="3">
        <v>374.0</v>
      </c>
      <c r="K6" s="3">
        <v>451.0</v>
      </c>
      <c r="L6" s="3">
        <v>90.0</v>
      </c>
      <c r="M6" s="3">
        <v>1.0</v>
      </c>
      <c r="N6" s="3">
        <v>84.0</v>
      </c>
      <c r="O6" s="3">
        <v>359.0</v>
      </c>
      <c r="P6" s="3">
        <v>24.0</v>
      </c>
      <c r="Q6" s="3">
        <v>216.0</v>
      </c>
      <c r="R6" s="3">
        <v>152.0</v>
      </c>
      <c r="S6" s="3">
        <v>35.0</v>
      </c>
      <c r="T6" s="3">
        <v>2.0</v>
      </c>
    </row>
    <row r="7">
      <c r="A7" s="3">
        <v>6.0</v>
      </c>
      <c r="B7" s="3" t="s">
        <v>46</v>
      </c>
      <c r="C7" s="3">
        <v>0.363</v>
      </c>
      <c r="D7" s="3">
        <v>0.447</v>
      </c>
      <c r="E7" s="3">
        <v>0.654</v>
      </c>
      <c r="F7" s="3">
        <v>1.102</v>
      </c>
      <c r="G7" s="3">
        <v>42.0</v>
      </c>
      <c r="H7" s="3">
        <v>1378.0</v>
      </c>
      <c r="I7" s="3">
        <v>1149.0</v>
      </c>
      <c r="J7" s="3">
        <v>359.0</v>
      </c>
      <c r="K7" s="3">
        <v>417.0</v>
      </c>
      <c r="L7" s="3">
        <v>61.0</v>
      </c>
      <c r="M7" s="3">
        <v>2.0</v>
      </c>
      <c r="N7" s="3">
        <v>90.0</v>
      </c>
      <c r="O7" s="3">
        <v>334.0</v>
      </c>
      <c r="P7" s="3">
        <v>38.0</v>
      </c>
      <c r="Q7" s="3">
        <v>153.0</v>
      </c>
      <c r="R7" s="3">
        <v>124.0</v>
      </c>
      <c r="S7" s="3">
        <v>30.0</v>
      </c>
      <c r="T7" s="3">
        <v>4.0</v>
      </c>
    </row>
    <row r="8">
      <c r="A8" s="3">
        <v>7.0</v>
      </c>
      <c r="B8" s="3" t="s">
        <v>122</v>
      </c>
      <c r="C8" s="3">
        <v>0.363</v>
      </c>
      <c r="D8" s="3">
        <v>0.447</v>
      </c>
      <c r="E8" s="3">
        <v>0.643</v>
      </c>
      <c r="F8" s="3">
        <v>1.089</v>
      </c>
      <c r="G8" s="3">
        <v>42.0</v>
      </c>
      <c r="H8" s="3">
        <v>1387.0</v>
      </c>
      <c r="I8" s="3">
        <v>1175.0</v>
      </c>
      <c r="J8" s="3">
        <v>337.0</v>
      </c>
      <c r="K8" s="3">
        <v>427.0</v>
      </c>
      <c r="L8" s="3">
        <v>87.0</v>
      </c>
      <c r="M8" s="3">
        <v>11.0</v>
      </c>
      <c r="N8" s="3">
        <v>73.0</v>
      </c>
      <c r="O8" s="3">
        <v>322.0</v>
      </c>
      <c r="P8" s="3">
        <v>13.0</v>
      </c>
      <c r="Q8" s="3">
        <v>177.0</v>
      </c>
      <c r="R8" s="3">
        <v>127.0</v>
      </c>
      <c r="S8" s="3">
        <v>42.0</v>
      </c>
      <c r="T8" s="3">
        <v>8.0</v>
      </c>
    </row>
    <row r="9">
      <c r="A9" s="3">
        <v>8.0</v>
      </c>
      <c r="B9" s="3" t="s">
        <v>30</v>
      </c>
      <c r="C9" s="3">
        <v>0.362</v>
      </c>
      <c r="D9" s="3">
        <v>0.447</v>
      </c>
      <c r="E9" s="3">
        <v>0.649</v>
      </c>
      <c r="F9" s="3">
        <v>1.096</v>
      </c>
      <c r="G9" s="3">
        <v>32.0</v>
      </c>
      <c r="H9" s="3">
        <v>1078.0</v>
      </c>
      <c r="I9" s="3">
        <v>895.0</v>
      </c>
      <c r="J9" s="3">
        <v>293.0</v>
      </c>
      <c r="K9" s="3">
        <v>324.0</v>
      </c>
      <c r="L9" s="3">
        <v>56.0</v>
      </c>
      <c r="M9" s="3">
        <v>9.0</v>
      </c>
      <c r="N9" s="3">
        <v>61.0</v>
      </c>
      <c r="O9" s="3">
        <v>269.0</v>
      </c>
      <c r="P9" s="3">
        <v>30.0</v>
      </c>
      <c r="Q9" s="3">
        <v>121.0</v>
      </c>
      <c r="R9" s="3">
        <v>156.0</v>
      </c>
      <c r="S9" s="3">
        <v>30.0</v>
      </c>
      <c r="T9" s="3">
        <v>3.0</v>
      </c>
    </row>
    <row r="10">
      <c r="A10" s="3">
        <v>9.0</v>
      </c>
      <c r="B10" s="3" t="s">
        <v>23</v>
      </c>
      <c r="C10" s="3">
        <v>0.36</v>
      </c>
      <c r="D10" s="3">
        <v>0.452</v>
      </c>
      <c r="E10" s="3">
        <v>0.6</v>
      </c>
      <c r="F10" s="3">
        <v>1.052</v>
      </c>
      <c r="G10" s="3">
        <v>43.0</v>
      </c>
      <c r="H10" s="3">
        <v>1337.0</v>
      </c>
      <c r="I10" s="3">
        <v>1111.0</v>
      </c>
      <c r="J10" s="3">
        <v>338.0</v>
      </c>
      <c r="K10" s="3">
        <v>400.0</v>
      </c>
      <c r="L10" s="3">
        <v>90.0</v>
      </c>
      <c r="M10" s="3">
        <v>18.0</v>
      </c>
      <c r="N10" s="3">
        <v>47.0</v>
      </c>
      <c r="O10" s="3">
        <v>302.0</v>
      </c>
      <c r="P10" s="3">
        <v>19.0</v>
      </c>
      <c r="Q10" s="3">
        <v>183.0</v>
      </c>
      <c r="R10" s="3">
        <v>109.0</v>
      </c>
      <c r="S10" s="3">
        <v>56.0</v>
      </c>
      <c r="T10" s="3">
        <v>9.0</v>
      </c>
    </row>
    <row r="11">
      <c r="A11" s="3">
        <v>10.0</v>
      </c>
      <c r="B11" s="3" t="s">
        <v>161</v>
      </c>
      <c r="C11" s="3">
        <v>0.358</v>
      </c>
      <c r="D11" s="3">
        <v>0.466</v>
      </c>
      <c r="E11" s="3">
        <v>0.632</v>
      </c>
      <c r="F11" s="3">
        <v>1.098</v>
      </c>
      <c r="G11" s="3">
        <v>42.0</v>
      </c>
      <c r="H11" s="3">
        <v>1315.0</v>
      </c>
      <c r="I11" s="3">
        <v>1044.0</v>
      </c>
      <c r="J11" s="3">
        <v>348.0</v>
      </c>
      <c r="K11" s="3">
        <v>374.0</v>
      </c>
      <c r="L11" s="3">
        <v>71.0</v>
      </c>
      <c r="M11" s="3">
        <v>19.0</v>
      </c>
      <c r="N11" s="3">
        <v>59.0</v>
      </c>
      <c r="O11" s="3">
        <v>314.0</v>
      </c>
      <c r="P11" s="3">
        <v>62.0</v>
      </c>
      <c r="Q11" s="3">
        <v>167.0</v>
      </c>
      <c r="R11" s="3">
        <v>150.0</v>
      </c>
      <c r="S11" s="3">
        <v>95.0</v>
      </c>
      <c r="T11" s="3">
        <v>22.0</v>
      </c>
    </row>
    <row r="12">
      <c r="A12" s="3">
        <v>11.0</v>
      </c>
      <c r="B12" s="3" t="s">
        <v>97</v>
      </c>
      <c r="C12" s="3">
        <v>0.356</v>
      </c>
      <c r="D12" s="3">
        <v>0.46</v>
      </c>
      <c r="E12" s="3">
        <v>0.601</v>
      </c>
      <c r="F12" s="3">
        <v>1.061</v>
      </c>
      <c r="G12" s="3">
        <v>42.0</v>
      </c>
      <c r="H12" s="3">
        <v>1346.0</v>
      </c>
      <c r="I12" s="3">
        <v>1083.0</v>
      </c>
      <c r="J12" s="3">
        <v>311.0</v>
      </c>
      <c r="K12" s="3">
        <v>386.0</v>
      </c>
      <c r="L12" s="3">
        <v>70.0</v>
      </c>
      <c r="M12" s="3">
        <v>6.0</v>
      </c>
      <c r="N12" s="3">
        <v>61.0</v>
      </c>
      <c r="O12" s="3">
        <v>292.0</v>
      </c>
      <c r="P12" s="3">
        <v>33.0</v>
      </c>
      <c r="Q12" s="3">
        <v>194.0</v>
      </c>
      <c r="R12" s="3">
        <v>150.0</v>
      </c>
      <c r="S12" s="3">
        <v>44.0</v>
      </c>
      <c r="T12" s="3">
        <v>10.0</v>
      </c>
    </row>
    <row r="13">
      <c r="A13" s="3">
        <v>12.0</v>
      </c>
      <c r="B13" s="3" t="s">
        <v>150</v>
      </c>
      <c r="C13" s="3">
        <v>0.354</v>
      </c>
      <c r="D13" s="3">
        <v>0.44</v>
      </c>
      <c r="E13" s="3">
        <v>0.611</v>
      </c>
      <c r="F13" s="3">
        <v>1.051</v>
      </c>
      <c r="G13" s="3">
        <v>42.0</v>
      </c>
      <c r="H13" s="3">
        <v>1260.0</v>
      </c>
      <c r="I13" s="3">
        <v>1064.0</v>
      </c>
      <c r="J13" s="3">
        <v>313.0</v>
      </c>
      <c r="K13" s="3">
        <v>377.0</v>
      </c>
      <c r="L13" s="3">
        <v>74.0</v>
      </c>
      <c r="M13" s="3">
        <v>11.0</v>
      </c>
      <c r="N13" s="3">
        <v>59.0</v>
      </c>
      <c r="O13" s="3">
        <v>292.0</v>
      </c>
      <c r="P13" s="3">
        <v>14.0</v>
      </c>
      <c r="Q13" s="3">
        <v>158.0</v>
      </c>
      <c r="R13" s="3">
        <v>168.0</v>
      </c>
      <c r="S13" s="3">
        <v>14.0</v>
      </c>
      <c r="T13" s="3">
        <v>6.0</v>
      </c>
    </row>
    <row r="14">
      <c r="A14" s="3">
        <v>13.0</v>
      </c>
      <c r="B14" s="3" t="s">
        <v>44</v>
      </c>
      <c r="C14" s="3">
        <v>0.354</v>
      </c>
      <c r="D14" s="3">
        <v>0.456</v>
      </c>
      <c r="E14" s="3">
        <v>0.632</v>
      </c>
      <c r="F14" s="3">
        <v>1.088</v>
      </c>
      <c r="G14" s="3">
        <v>39.0</v>
      </c>
      <c r="H14" s="3">
        <v>1225.0</v>
      </c>
      <c r="I14" s="3">
        <v>1003.0</v>
      </c>
      <c r="J14" s="3">
        <v>315.0</v>
      </c>
      <c r="K14" s="3">
        <v>355.0</v>
      </c>
      <c r="L14" s="3">
        <v>63.0</v>
      </c>
      <c r="M14" s="3">
        <v>6.0</v>
      </c>
      <c r="N14" s="3">
        <v>68.0</v>
      </c>
      <c r="O14" s="3">
        <v>293.0</v>
      </c>
      <c r="P14" s="3">
        <v>23.0</v>
      </c>
      <c r="Q14" s="3">
        <v>173.0</v>
      </c>
      <c r="R14" s="3">
        <v>140.0</v>
      </c>
      <c r="S14" s="3">
        <v>58.0</v>
      </c>
      <c r="T14" s="3">
        <v>10.0</v>
      </c>
    </row>
    <row r="15">
      <c r="A15" s="3">
        <v>14.0</v>
      </c>
      <c r="B15" s="3" t="s">
        <v>65</v>
      </c>
      <c r="C15" s="3">
        <v>0.353</v>
      </c>
      <c r="D15" s="3">
        <v>0.444</v>
      </c>
      <c r="E15" s="3">
        <v>0.546</v>
      </c>
      <c r="F15" s="3">
        <v>0.99</v>
      </c>
      <c r="G15" s="3">
        <v>43.0</v>
      </c>
      <c r="H15" s="3">
        <v>1418.0</v>
      </c>
      <c r="I15" s="3">
        <v>1160.0</v>
      </c>
      <c r="J15" s="3">
        <v>315.0</v>
      </c>
      <c r="K15" s="3">
        <v>410.0</v>
      </c>
      <c r="L15" s="3">
        <v>85.0</v>
      </c>
      <c r="M15" s="3">
        <v>21.0</v>
      </c>
      <c r="N15" s="3">
        <v>32.0</v>
      </c>
      <c r="O15" s="3">
        <v>290.0</v>
      </c>
      <c r="P15" s="3">
        <v>40.0</v>
      </c>
      <c r="Q15" s="3">
        <v>164.0</v>
      </c>
      <c r="R15" s="3">
        <v>156.0</v>
      </c>
      <c r="S15" s="3">
        <v>99.0</v>
      </c>
      <c r="T15" s="3">
        <v>17.0</v>
      </c>
    </row>
    <row r="16">
      <c r="A16" s="3">
        <v>15.0</v>
      </c>
      <c r="B16" s="3" t="s">
        <v>263</v>
      </c>
      <c r="C16" s="3">
        <v>0.351</v>
      </c>
      <c r="D16" s="3">
        <v>0.438</v>
      </c>
      <c r="E16" s="3">
        <v>0.637</v>
      </c>
      <c r="F16" s="3">
        <v>1.076</v>
      </c>
      <c r="G16" s="3">
        <v>41.0</v>
      </c>
      <c r="H16" s="3">
        <v>1292.0</v>
      </c>
      <c r="I16" s="3">
        <v>1084.0</v>
      </c>
      <c r="J16" s="3">
        <v>305.0</v>
      </c>
      <c r="K16" s="3">
        <v>380.0</v>
      </c>
      <c r="L16" s="3">
        <v>82.0</v>
      </c>
      <c r="M16" s="3">
        <v>8.0</v>
      </c>
      <c r="N16" s="3">
        <v>71.0</v>
      </c>
      <c r="O16" s="3">
        <v>289.0</v>
      </c>
      <c r="P16" s="3">
        <v>32.0</v>
      </c>
      <c r="Q16" s="3">
        <v>148.0</v>
      </c>
      <c r="R16" s="3">
        <v>144.0</v>
      </c>
      <c r="S16" s="3">
        <v>39.0</v>
      </c>
      <c r="T16" s="3">
        <v>9.0</v>
      </c>
    </row>
    <row r="17">
      <c r="A17" s="3">
        <v>16.0</v>
      </c>
      <c r="B17" s="3" t="s">
        <v>42</v>
      </c>
      <c r="C17" s="3">
        <v>0.351</v>
      </c>
      <c r="D17" s="3">
        <v>0.414</v>
      </c>
      <c r="E17" s="3">
        <v>0.538</v>
      </c>
      <c r="F17" s="3">
        <v>0.953</v>
      </c>
      <c r="G17" s="3">
        <v>31.0</v>
      </c>
      <c r="H17" s="3">
        <v>990.0</v>
      </c>
      <c r="I17" s="3">
        <v>860.0</v>
      </c>
      <c r="J17" s="3">
        <v>220.0</v>
      </c>
      <c r="K17" s="3">
        <v>302.0</v>
      </c>
      <c r="L17" s="3">
        <v>59.0</v>
      </c>
      <c r="M17" s="3">
        <v>12.0</v>
      </c>
      <c r="N17" s="3">
        <v>26.0</v>
      </c>
      <c r="O17" s="3">
        <v>201.0</v>
      </c>
      <c r="P17" s="3">
        <v>12.0</v>
      </c>
      <c r="Q17" s="3">
        <v>88.0</v>
      </c>
      <c r="R17" s="3">
        <v>111.0</v>
      </c>
      <c r="S17" s="3">
        <v>40.0</v>
      </c>
      <c r="T17" s="3">
        <v>4.0</v>
      </c>
    </row>
    <row r="18">
      <c r="A18" s="3">
        <v>17.0</v>
      </c>
      <c r="B18" s="3" t="s">
        <v>120</v>
      </c>
      <c r="C18" s="3">
        <v>0.35</v>
      </c>
      <c r="D18" s="3">
        <v>0.433</v>
      </c>
      <c r="E18" s="3">
        <v>0.562</v>
      </c>
      <c r="F18" s="3">
        <v>0.995</v>
      </c>
      <c r="G18" s="3">
        <v>41.0</v>
      </c>
      <c r="H18" s="3">
        <v>1225.0</v>
      </c>
      <c r="I18" s="3">
        <v>1039.0</v>
      </c>
      <c r="J18" s="3">
        <v>311.0</v>
      </c>
      <c r="K18" s="3">
        <v>364.0</v>
      </c>
      <c r="L18" s="3">
        <v>53.0</v>
      </c>
      <c r="M18" s="3">
        <v>7.0</v>
      </c>
      <c r="N18" s="3">
        <v>51.0</v>
      </c>
      <c r="O18" s="3">
        <v>287.0</v>
      </c>
      <c r="P18" s="3">
        <v>22.0</v>
      </c>
      <c r="Q18" s="3">
        <v>139.0</v>
      </c>
      <c r="R18" s="3">
        <v>136.0</v>
      </c>
      <c r="S18" s="3">
        <v>32.0</v>
      </c>
      <c r="T18" s="3">
        <v>2.0</v>
      </c>
    </row>
    <row r="19">
      <c r="A19" s="3">
        <v>18.0</v>
      </c>
      <c r="B19" s="3" t="s">
        <v>67</v>
      </c>
      <c r="C19" s="3">
        <v>0.349</v>
      </c>
      <c r="D19" s="3">
        <v>0.425</v>
      </c>
      <c r="E19" s="3">
        <v>0.543</v>
      </c>
      <c r="F19" s="3">
        <v>0.968</v>
      </c>
      <c r="G19" s="3">
        <v>35.0</v>
      </c>
      <c r="H19" s="3">
        <v>1129.0</v>
      </c>
      <c r="I19" s="3">
        <v>958.0</v>
      </c>
      <c r="J19" s="3">
        <v>242.0</v>
      </c>
      <c r="K19" s="3">
        <v>334.0</v>
      </c>
      <c r="L19" s="3">
        <v>64.0</v>
      </c>
      <c r="M19" s="3">
        <v>10.0</v>
      </c>
      <c r="N19" s="3">
        <v>34.0</v>
      </c>
      <c r="O19" s="3">
        <v>216.0</v>
      </c>
      <c r="P19" s="3">
        <v>9.0</v>
      </c>
      <c r="Q19" s="3">
        <v>129.0</v>
      </c>
      <c r="R19" s="3">
        <v>108.0</v>
      </c>
      <c r="S19" s="3">
        <v>47.0</v>
      </c>
      <c r="T19" s="3">
        <v>8.0</v>
      </c>
    </row>
    <row r="20">
      <c r="A20" s="3">
        <v>19.0</v>
      </c>
      <c r="B20" s="3" t="s">
        <v>133</v>
      </c>
      <c r="C20" s="3">
        <v>0.349</v>
      </c>
      <c r="D20" s="3">
        <v>0.425</v>
      </c>
      <c r="E20" s="3">
        <v>0.533</v>
      </c>
      <c r="F20" s="3">
        <v>0.958</v>
      </c>
      <c r="G20" s="3">
        <v>41.0</v>
      </c>
      <c r="H20" s="3">
        <v>1327.0</v>
      </c>
      <c r="I20" s="3">
        <v>1120.0</v>
      </c>
      <c r="J20" s="3">
        <v>269.0</v>
      </c>
      <c r="K20" s="3">
        <v>391.0</v>
      </c>
      <c r="L20" s="3">
        <v>77.0</v>
      </c>
      <c r="M20" s="3">
        <v>12.0</v>
      </c>
      <c r="N20" s="3">
        <v>35.0</v>
      </c>
      <c r="O20" s="3">
        <v>239.0</v>
      </c>
      <c r="P20" s="3">
        <v>31.0</v>
      </c>
      <c r="Q20" s="3">
        <v>134.0</v>
      </c>
      <c r="R20" s="3">
        <v>131.0</v>
      </c>
      <c r="S20" s="3">
        <v>52.0</v>
      </c>
      <c r="T20" s="3">
        <v>16.0</v>
      </c>
    </row>
    <row r="21">
      <c r="A21" s="3">
        <v>20.0</v>
      </c>
      <c r="B21" s="3" t="s">
        <v>203</v>
      </c>
      <c r="C21" s="3">
        <v>0.346</v>
      </c>
      <c r="D21" s="3">
        <v>0.415</v>
      </c>
      <c r="E21" s="3">
        <v>0.499</v>
      </c>
      <c r="F21" s="3">
        <v>0.914</v>
      </c>
      <c r="G21" s="3">
        <v>45.0</v>
      </c>
      <c r="H21" s="3">
        <v>1473.0</v>
      </c>
      <c r="I21" s="3">
        <v>1267.0</v>
      </c>
      <c r="J21" s="3">
        <v>305.0</v>
      </c>
      <c r="K21" s="3">
        <v>439.0</v>
      </c>
      <c r="L21" s="3">
        <v>85.0</v>
      </c>
      <c r="M21" s="3">
        <v>9.0</v>
      </c>
      <c r="N21" s="3">
        <v>30.0</v>
      </c>
      <c r="O21" s="3">
        <v>275.0</v>
      </c>
      <c r="P21" s="3">
        <v>13.0</v>
      </c>
      <c r="Q21" s="3">
        <v>154.0</v>
      </c>
      <c r="R21" s="3">
        <v>144.0</v>
      </c>
      <c r="S21" s="3">
        <v>36.0</v>
      </c>
      <c r="T21" s="3">
        <v>2.0</v>
      </c>
    </row>
    <row r="22">
      <c r="A22" s="3">
        <v>21.0</v>
      </c>
      <c r="B22" s="3" t="s">
        <v>124</v>
      </c>
      <c r="C22" s="3">
        <v>0.345</v>
      </c>
      <c r="D22" s="3">
        <v>0.441</v>
      </c>
      <c r="E22" s="3">
        <v>0.609</v>
      </c>
      <c r="F22" s="3">
        <v>1.05</v>
      </c>
      <c r="G22" s="3">
        <v>43.0</v>
      </c>
      <c r="H22" s="3">
        <v>1320.0</v>
      </c>
      <c r="I22" s="3">
        <v>1086.0</v>
      </c>
      <c r="J22" s="3">
        <v>298.0</v>
      </c>
      <c r="K22" s="3">
        <v>375.0</v>
      </c>
      <c r="L22" s="3">
        <v>52.0</v>
      </c>
      <c r="M22" s="3">
        <v>9.0</v>
      </c>
      <c r="N22" s="3">
        <v>72.0</v>
      </c>
      <c r="O22" s="3">
        <v>285.0</v>
      </c>
      <c r="P22" s="3">
        <v>31.0</v>
      </c>
      <c r="Q22" s="3">
        <v>167.0</v>
      </c>
      <c r="R22" s="3">
        <v>156.0</v>
      </c>
      <c r="S22" s="3">
        <v>60.0</v>
      </c>
      <c r="T22" s="3">
        <v>10.0</v>
      </c>
    </row>
    <row r="23">
      <c r="A23" s="3">
        <v>22.0</v>
      </c>
      <c r="B23" s="3" t="s">
        <v>70</v>
      </c>
      <c r="C23" s="3">
        <v>0.345</v>
      </c>
      <c r="D23" s="3">
        <v>0.414</v>
      </c>
      <c r="E23" s="3">
        <v>0.608</v>
      </c>
      <c r="F23" s="3">
        <v>1.023</v>
      </c>
      <c r="G23" s="3">
        <v>43.0</v>
      </c>
      <c r="H23" s="3">
        <v>1393.0</v>
      </c>
      <c r="I23" s="3">
        <v>1213.0</v>
      </c>
      <c r="J23" s="3">
        <v>296.0</v>
      </c>
      <c r="K23" s="3">
        <v>418.0</v>
      </c>
      <c r="L23" s="3">
        <v>80.0</v>
      </c>
      <c r="M23" s="3">
        <v>9.0</v>
      </c>
      <c r="N23" s="3">
        <v>74.0</v>
      </c>
      <c r="O23" s="3">
        <v>278.0</v>
      </c>
      <c r="P23" s="3">
        <v>25.0</v>
      </c>
      <c r="Q23" s="3">
        <v>131.0</v>
      </c>
      <c r="R23" s="3">
        <v>150.0</v>
      </c>
      <c r="S23" s="3">
        <v>35.0</v>
      </c>
      <c r="T23" s="3">
        <v>3.0</v>
      </c>
    </row>
    <row r="24">
      <c r="A24" s="3">
        <v>23.0</v>
      </c>
      <c r="B24" s="3" t="s">
        <v>264</v>
      </c>
      <c r="C24" s="3">
        <v>0.342</v>
      </c>
      <c r="D24" s="3">
        <v>0.443</v>
      </c>
      <c r="E24" s="3">
        <v>0.538</v>
      </c>
      <c r="F24" s="3">
        <v>0.981</v>
      </c>
      <c r="G24" s="3">
        <v>45.0</v>
      </c>
      <c r="H24" s="3">
        <v>1467.0</v>
      </c>
      <c r="I24" s="3">
        <v>1209.0</v>
      </c>
      <c r="J24" s="3">
        <v>340.0</v>
      </c>
      <c r="K24" s="3">
        <v>413.0</v>
      </c>
      <c r="L24" s="3">
        <v>68.0</v>
      </c>
      <c r="M24" s="3">
        <v>14.0</v>
      </c>
      <c r="N24" s="3">
        <v>47.0</v>
      </c>
      <c r="O24" s="3">
        <v>298.0</v>
      </c>
      <c r="P24" s="3">
        <v>44.0</v>
      </c>
      <c r="Q24" s="3">
        <v>190.0</v>
      </c>
      <c r="R24" s="3">
        <v>150.0</v>
      </c>
      <c r="S24" s="3">
        <v>24.0</v>
      </c>
      <c r="T24" s="3">
        <v>11.0</v>
      </c>
    </row>
    <row r="25">
      <c r="A25" s="3">
        <v>24.0</v>
      </c>
      <c r="B25" s="3" t="s">
        <v>173</v>
      </c>
      <c r="C25" s="3">
        <v>0.341</v>
      </c>
      <c r="D25" s="3">
        <v>0.408</v>
      </c>
      <c r="E25" s="3">
        <v>0.492</v>
      </c>
      <c r="F25" s="3">
        <v>0.899</v>
      </c>
      <c r="G25" s="3">
        <v>32.0</v>
      </c>
      <c r="H25" s="3">
        <v>1022.0</v>
      </c>
      <c r="I25" s="3">
        <v>905.0</v>
      </c>
      <c r="J25" s="3">
        <v>186.0</v>
      </c>
      <c r="K25" s="3">
        <v>309.0</v>
      </c>
      <c r="L25" s="3">
        <v>59.0</v>
      </c>
      <c r="M25" s="3">
        <v>7.0</v>
      </c>
      <c r="N25" s="3">
        <v>21.0</v>
      </c>
      <c r="O25" s="3">
        <v>178.0</v>
      </c>
      <c r="P25" s="3">
        <v>20.0</v>
      </c>
      <c r="Q25" s="3">
        <v>86.0</v>
      </c>
      <c r="R25" s="3">
        <v>126.0</v>
      </c>
      <c r="S25" s="3">
        <v>32.0</v>
      </c>
      <c r="T25" s="3">
        <v>6.0</v>
      </c>
    </row>
    <row r="26">
      <c r="A26" s="3">
        <v>25.0</v>
      </c>
      <c r="B26" s="3" t="s">
        <v>60</v>
      </c>
      <c r="C26" s="3">
        <v>0.339</v>
      </c>
      <c r="D26" s="3">
        <v>0.453</v>
      </c>
      <c r="E26" s="3">
        <v>0.634</v>
      </c>
      <c r="F26" s="3">
        <v>1.088</v>
      </c>
      <c r="G26" s="3">
        <v>38.0</v>
      </c>
      <c r="H26" s="3">
        <v>1315.0</v>
      </c>
      <c r="I26" s="3">
        <v>1061.0</v>
      </c>
      <c r="J26" s="3">
        <v>319.0</v>
      </c>
      <c r="K26" s="3">
        <v>360.0</v>
      </c>
      <c r="L26" s="3">
        <v>67.0</v>
      </c>
      <c r="M26" s="3">
        <v>6.0</v>
      </c>
      <c r="N26" s="3">
        <v>78.0</v>
      </c>
      <c r="O26" s="3">
        <v>299.0</v>
      </c>
      <c r="P26" s="3">
        <v>17.0</v>
      </c>
      <c r="Q26" s="3">
        <v>216.0</v>
      </c>
      <c r="R26" s="3">
        <v>200.0</v>
      </c>
      <c r="S26" s="3">
        <v>33.0</v>
      </c>
      <c r="T26" s="3">
        <v>13.0</v>
      </c>
    </row>
    <row r="27">
      <c r="A27" s="3">
        <v>26.0</v>
      </c>
      <c r="B27" s="3" t="s">
        <v>265</v>
      </c>
      <c r="C27" s="3">
        <v>0.339</v>
      </c>
      <c r="D27" s="3">
        <v>0.429</v>
      </c>
      <c r="E27" s="3">
        <v>0.526</v>
      </c>
      <c r="F27" s="3">
        <v>0.955</v>
      </c>
      <c r="G27" s="3">
        <v>38.0</v>
      </c>
      <c r="H27" s="3">
        <v>1223.0</v>
      </c>
      <c r="I27" s="3">
        <v>1026.0</v>
      </c>
      <c r="J27" s="3">
        <v>302.0</v>
      </c>
      <c r="K27" s="3">
        <v>348.0</v>
      </c>
      <c r="L27" s="3">
        <v>71.0</v>
      </c>
      <c r="M27" s="3">
        <v>8.0</v>
      </c>
      <c r="N27" s="3">
        <v>35.0</v>
      </c>
      <c r="O27" s="3">
        <v>271.0</v>
      </c>
      <c r="P27" s="3">
        <v>17.0</v>
      </c>
      <c r="Q27" s="3">
        <v>151.0</v>
      </c>
      <c r="R27" s="3">
        <v>121.0</v>
      </c>
      <c r="S27" s="3">
        <v>23.0</v>
      </c>
      <c r="T27" s="3">
        <v>5.0</v>
      </c>
    </row>
    <row r="28">
      <c r="A28" s="3">
        <v>27.0</v>
      </c>
      <c r="B28" s="3" t="s">
        <v>40</v>
      </c>
      <c r="C28" s="3">
        <v>0.338</v>
      </c>
      <c r="D28" s="3">
        <v>0.418</v>
      </c>
      <c r="E28" s="3">
        <v>0.555</v>
      </c>
      <c r="F28" s="3">
        <v>0.974</v>
      </c>
      <c r="G28" s="3">
        <v>44.0</v>
      </c>
      <c r="H28" s="3">
        <v>1443.0</v>
      </c>
      <c r="I28" s="3">
        <v>1235.0</v>
      </c>
      <c r="J28" s="3">
        <v>289.0</v>
      </c>
      <c r="K28" s="3">
        <v>418.0</v>
      </c>
      <c r="L28" s="3">
        <v>71.0</v>
      </c>
      <c r="M28" s="3">
        <v>16.0</v>
      </c>
      <c r="N28" s="3">
        <v>55.0</v>
      </c>
      <c r="O28" s="3">
        <v>261.0</v>
      </c>
      <c r="P28" s="3">
        <v>31.0</v>
      </c>
      <c r="Q28" s="3">
        <v>145.0</v>
      </c>
      <c r="R28" s="3">
        <v>153.0</v>
      </c>
      <c r="S28" s="3">
        <v>74.0</v>
      </c>
      <c r="T28" s="3">
        <v>12.0</v>
      </c>
    </row>
    <row r="29">
      <c r="A29" s="3">
        <v>28.0</v>
      </c>
      <c r="B29" s="3" t="s">
        <v>197</v>
      </c>
      <c r="C29" s="3">
        <v>0.338</v>
      </c>
      <c r="D29" s="3">
        <v>0.405</v>
      </c>
      <c r="E29" s="3">
        <v>0.485</v>
      </c>
      <c r="F29" s="3">
        <v>0.89</v>
      </c>
      <c r="G29" s="3">
        <v>48.0</v>
      </c>
      <c r="H29" s="3">
        <v>1455.0</v>
      </c>
      <c r="I29" s="3">
        <v>1251.0</v>
      </c>
      <c r="J29" s="3">
        <v>285.0</v>
      </c>
      <c r="K29" s="3">
        <v>423.0</v>
      </c>
      <c r="L29" s="3">
        <v>67.0</v>
      </c>
      <c r="M29" s="3">
        <v>24.0</v>
      </c>
      <c r="N29" s="3">
        <v>23.0</v>
      </c>
      <c r="O29" s="3">
        <v>248.0</v>
      </c>
      <c r="P29" s="3">
        <v>19.0</v>
      </c>
      <c r="Q29" s="3">
        <v>131.0</v>
      </c>
      <c r="R29" s="3">
        <v>150.0</v>
      </c>
      <c r="S29" s="3">
        <v>105.0</v>
      </c>
      <c r="T29" s="3">
        <v>23.0</v>
      </c>
    </row>
    <row r="30">
      <c r="A30" s="3">
        <v>29.0</v>
      </c>
      <c r="B30" s="3" t="s">
        <v>84</v>
      </c>
      <c r="C30" s="3">
        <v>0.337</v>
      </c>
      <c r="D30" s="3">
        <v>0.451</v>
      </c>
      <c r="E30" s="3">
        <v>0.446</v>
      </c>
      <c r="F30" s="3">
        <v>0.898</v>
      </c>
      <c r="G30" s="3">
        <v>36.0</v>
      </c>
      <c r="H30" s="3">
        <v>1163.0</v>
      </c>
      <c r="I30" s="3">
        <v>925.0</v>
      </c>
      <c r="J30" s="3">
        <v>237.0</v>
      </c>
      <c r="K30" s="3">
        <v>312.0</v>
      </c>
      <c r="L30" s="3">
        <v>41.0</v>
      </c>
      <c r="M30" s="3">
        <v>18.0</v>
      </c>
      <c r="N30" s="3">
        <v>8.0</v>
      </c>
      <c r="O30" s="3">
        <v>200.0</v>
      </c>
      <c r="P30" s="3">
        <v>25.0</v>
      </c>
      <c r="Q30" s="3">
        <v>179.0</v>
      </c>
      <c r="R30" s="3">
        <v>156.0</v>
      </c>
      <c r="S30" s="3">
        <v>133.0</v>
      </c>
      <c r="T30" s="3">
        <v>22.0</v>
      </c>
    </row>
    <row r="31">
      <c r="A31" s="3">
        <v>30.0</v>
      </c>
      <c r="B31" s="3" t="s">
        <v>177</v>
      </c>
      <c r="C31" s="3">
        <v>0.336</v>
      </c>
      <c r="D31" s="3">
        <v>0.401</v>
      </c>
      <c r="E31" s="3">
        <v>0.548</v>
      </c>
      <c r="F31" s="3">
        <v>0.949</v>
      </c>
      <c r="G31" s="3">
        <v>39.0</v>
      </c>
      <c r="H31" s="3">
        <v>1179.0</v>
      </c>
      <c r="I31" s="3">
        <v>1026.0</v>
      </c>
      <c r="J31" s="3">
        <v>227.0</v>
      </c>
      <c r="K31" s="3">
        <v>345.0</v>
      </c>
      <c r="L31" s="3">
        <v>51.0</v>
      </c>
      <c r="M31" s="3">
        <v>8.0</v>
      </c>
      <c r="N31" s="3">
        <v>50.0</v>
      </c>
      <c r="O31" s="3">
        <v>201.0</v>
      </c>
      <c r="P31" s="3">
        <v>6.0</v>
      </c>
      <c r="Q31" s="3">
        <v>113.0</v>
      </c>
      <c r="R31" s="3">
        <v>148.0</v>
      </c>
      <c r="S31" s="3">
        <v>51.0</v>
      </c>
      <c r="T31" s="3">
        <v>8.0</v>
      </c>
    </row>
    <row r="32">
      <c r="A32" s="3">
        <v>31.0</v>
      </c>
      <c r="B32" s="3" t="s">
        <v>143</v>
      </c>
      <c r="C32" s="3">
        <v>0.335</v>
      </c>
      <c r="D32" s="3">
        <v>0.422</v>
      </c>
      <c r="E32" s="3">
        <v>0.551</v>
      </c>
      <c r="F32" s="3">
        <v>0.972</v>
      </c>
      <c r="G32" s="3">
        <v>44.0</v>
      </c>
      <c r="H32" s="3">
        <v>1362.0</v>
      </c>
      <c r="I32" s="3">
        <v>1144.0</v>
      </c>
      <c r="J32" s="3">
        <v>297.0</v>
      </c>
      <c r="K32" s="3">
        <v>383.0</v>
      </c>
      <c r="L32" s="3">
        <v>79.0</v>
      </c>
      <c r="M32" s="3">
        <v>6.0</v>
      </c>
      <c r="N32" s="3">
        <v>52.0</v>
      </c>
      <c r="O32" s="3">
        <v>268.0</v>
      </c>
      <c r="P32" s="3">
        <v>30.0</v>
      </c>
      <c r="Q32" s="3">
        <v>152.0</v>
      </c>
      <c r="R32" s="3">
        <v>158.0</v>
      </c>
      <c r="S32" s="3">
        <v>45.0</v>
      </c>
      <c r="T32" s="3">
        <v>4.0</v>
      </c>
    </row>
    <row r="33">
      <c r="A33" s="3">
        <v>32.0</v>
      </c>
      <c r="B33" s="3" t="s">
        <v>186</v>
      </c>
      <c r="C33" s="3">
        <v>0.335</v>
      </c>
      <c r="D33" s="3">
        <v>0.436</v>
      </c>
      <c r="E33" s="3">
        <v>0.563</v>
      </c>
      <c r="F33" s="3">
        <v>0.999</v>
      </c>
      <c r="G33" s="3">
        <v>43.0</v>
      </c>
      <c r="H33" s="3">
        <v>1409.0</v>
      </c>
      <c r="I33" s="3">
        <v>1164.0</v>
      </c>
      <c r="J33" s="3">
        <v>316.0</v>
      </c>
      <c r="K33" s="3">
        <v>390.0</v>
      </c>
      <c r="L33" s="3">
        <v>65.0</v>
      </c>
      <c r="M33" s="3">
        <v>7.0</v>
      </c>
      <c r="N33" s="3">
        <v>62.0</v>
      </c>
      <c r="O33" s="3">
        <v>285.0</v>
      </c>
      <c r="P33" s="3">
        <v>40.0</v>
      </c>
      <c r="Q33" s="3">
        <v>178.0</v>
      </c>
      <c r="R33" s="3">
        <v>218.0</v>
      </c>
      <c r="S33" s="3">
        <v>34.0</v>
      </c>
      <c r="T33" s="3">
        <v>11.0</v>
      </c>
    </row>
    <row r="34">
      <c r="A34" s="3">
        <v>33.0</v>
      </c>
      <c r="B34" s="3" t="s">
        <v>205</v>
      </c>
      <c r="C34" s="3">
        <v>0.334</v>
      </c>
      <c r="D34" s="3">
        <v>0.397</v>
      </c>
      <c r="E34" s="3">
        <v>0.493</v>
      </c>
      <c r="F34" s="3">
        <v>0.891</v>
      </c>
      <c r="G34" s="3">
        <v>40.0</v>
      </c>
      <c r="H34" s="3">
        <v>1228.0</v>
      </c>
      <c r="I34" s="3">
        <v>1062.0</v>
      </c>
      <c r="J34" s="3">
        <v>243.0</v>
      </c>
      <c r="K34" s="3">
        <v>355.0</v>
      </c>
      <c r="L34" s="3">
        <v>50.0</v>
      </c>
      <c r="M34" s="3">
        <v>4.0</v>
      </c>
      <c r="N34" s="3">
        <v>37.0</v>
      </c>
      <c r="O34" s="3">
        <v>216.0</v>
      </c>
      <c r="P34" s="3">
        <v>20.0</v>
      </c>
      <c r="Q34" s="3">
        <v>100.0</v>
      </c>
      <c r="R34" s="3">
        <v>122.0</v>
      </c>
      <c r="S34" s="3">
        <v>79.0</v>
      </c>
      <c r="T34" s="3">
        <v>18.0</v>
      </c>
    </row>
    <row r="35">
      <c r="A35" s="3">
        <v>34.0</v>
      </c>
      <c r="B35" s="3" t="s">
        <v>137</v>
      </c>
      <c r="C35" s="3">
        <v>0.334</v>
      </c>
      <c r="D35" s="3">
        <v>0.421</v>
      </c>
      <c r="E35" s="3">
        <v>0.439</v>
      </c>
      <c r="F35" s="3">
        <v>0.861</v>
      </c>
      <c r="G35" s="3">
        <v>37.0</v>
      </c>
      <c r="H35" s="3">
        <v>1158.0</v>
      </c>
      <c r="I35" s="3">
        <v>974.0</v>
      </c>
      <c r="J35" s="3">
        <v>234.0</v>
      </c>
      <c r="K35" s="3">
        <v>325.0</v>
      </c>
      <c r="L35" s="3">
        <v>48.0</v>
      </c>
      <c r="M35" s="3">
        <v>11.0</v>
      </c>
      <c r="N35" s="3">
        <v>11.0</v>
      </c>
      <c r="O35" s="3">
        <v>197.0</v>
      </c>
      <c r="P35" s="3">
        <v>19.0</v>
      </c>
      <c r="Q35" s="3">
        <v>137.0</v>
      </c>
      <c r="R35" s="3">
        <v>119.0</v>
      </c>
      <c r="S35" s="3">
        <v>129.0</v>
      </c>
      <c r="T35" s="3">
        <v>13.0</v>
      </c>
    </row>
    <row r="36">
      <c r="A36" s="3">
        <v>35.0</v>
      </c>
      <c r="B36" s="3" t="s">
        <v>62</v>
      </c>
      <c r="C36" s="3">
        <v>0.334</v>
      </c>
      <c r="D36" s="3">
        <v>0.425</v>
      </c>
      <c r="E36" s="3">
        <v>0.569</v>
      </c>
      <c r="F36" s="3">
        <v>0.993</v>
      </c>
      <c r="G36" s="3">
        <v>43.0</v>
      </c>
      <c r="H36" s="3">
        <v>1387.0</v>
      </c>
      <c r="I36" s="3">
        <v>1150.0</v>
      </c>
      <c r="J36" s="3">
        <v>311.0</v>
      </c>
      <c r="K36" s="3">
        <v>384.0</v>
      </c>
      <c r="L36" s="3">
        <v>83.0</v>
      </c>
      <c r="M36" s="3">
        <v>5.0</v>
      </c>
      <c r="N36" s="3">
        <v>59.0</v>
      </c>
      <c r="O36" s="3">
        <v>286.0</v>
      </c>
      <c r="P36" s="3">
        <v>34.0</v>
      </c>
      <c r="Q36" s="3">
        <v>165.0</v>
      </c>
      <c r="R36" s="3">
        <v>149.0</v>
      </c>
      <c r="S36" s="3">
        <v>26.0</v>
      </c>
      <c r="T36" s="3">
        <v>8.0</v>
      </c>
    </row>
    <row r="37">
      <c r="A37" s="3">
        <v>36.0</v>
      </c>
      <c r="B37" s="3" t="s">
        <v>163</v>
      </c>
      <c r="C37" s="3">
        <v>0.333</v>
      </c>
      <c r="D37" s="3">
        <v>0.43</v>
      </c>
      <c r="E37" s="3">
        <v>0.469</v>
      </c>
      <c r="F37" s="3">
        <v>0.899</v>
      </c>
      <c r="G37" s="3">
        <v>39.0</v>
      </c>
      <c r="H37" s="3">
        <v>1253.0</v>
      </c>
      <c r="I37" s="3">
        <v>1015.0</v>
      </c>
      <c r="J37" s="3">
        <v>255.0</v>
      </c>
      <c r="K37" s="3">
        <v>338.0</v>
      </c>
      <c r="L37" s="3">
        <v>64.0</v>
      </c>
      <c r="M37" s="3">
        <v>13.0</v>
      </c>
      <c r="N37" s="3">
        <v>16.0</v>
      </c>
      <c r="O37" s="3">
        <v>226.0</v>
      </c>
      <c r="P37" s="3">
        <v>21.0</v>
      </c>
      <c r="Q37" s="3">
        <v>164.0</v>
      </c>
      <c r="R37" s="3">
        <v>137.0</v>
      </c>
      <c r="S37" s="3">
        <v>74.0</v>
      </c>
      <c r="T37" s="3">
        <v>16.0</v>
      </c>
    </row>
    <row r="38">
      <c r="A38" s="3">
        <v>37.0</v>
      </c>
      <c r="B38" s="3" t="s">
        <v>188</v>
      </c>
      <c r="C38" s="3">
        <v>0.332</v>
      </c>
      <c r="D38" s="3">
        <v>0.417</v>
      </c>
      <c r="E38" s="3">
        <v>0.558</v>
      </c>
      <c r="F38" s="3">
        <v>0.975</v>
      </c>
      <c r="G38" s="3">
        <v>43.0</v>
      </c>
      <c r="H38" s="3">
        <v>1439.0</v>
      </c>
      <c r="I38" s="3">
        <v>1228.0</v>
      </c>
      <c r="J38" s="3">
        <v>303.0</v>
      </c>
      <c r="K38" s="3">
        <v>408.0</v>
      </c>
      <c r="L38" s="3">
        <v>76.0</v>
      </c>
      <c r="M38" s="3">
        <v>12.0</v>
      </c>
      <c r="N38" s="3">
        <v>59.0</v>
      </c>
      <c r="O38" s="3">
        <v>285.0</v>
      </c>
      <c r="P38" s="3">
        <v>48.0</v>
      </c>
      <c r="Q38" s="3">
        <v>141.0</v>
      </c>
      <c r="R38" s="3">
        <v>168.0</v>
      </c>
      <c r="S38" s="3">
        <v>52.0</v>
      </c>
      <c r="T38" s="3">
        <v>12.0</v>
      </c>
    </row>
    <row r="39">
      <c r="A39" s="3">
        <v>38.0</v>
      </c>
      <c r="B39" s="3" t="s">
        <v>266</v>
      </c>
      <c r="C39" s="3">
        <v>0.332</v>
      </c>
      <c r="D39" s="3">
        <v>0.415</v>
      </c>
      <c r="E39" s="3">
        <v>0.562</v>
      </c>
      <c r="F39" s="3">
        <v>0.977</v>
      </c>
      <c r="G39" s="3">
        <v>38.0</v>
      </c>
      <c r="H39" s="3">
        <v>1267.0</v>
      </c>
      <c r="I39" s="3">
        <v>1069.0</v>
      </c>
      <c r="J39" s="3">
        <v>262.0</v>
      </c>
      <c r="K39" s="3">
        <v>355.0</v>
      </c>
      <c r="L39" s="3">
        <v>71.0</v>
      </c>
      <c r="M39" s="3">
        <v>17.0</v>
      </c>
      <c r="N39" s="3">
        <v>47.0</v>
      </c>
      <c r="O39" s="3">
        <v>249.0</v>
      </c>
      <c r="P39" s="3">
        <v>18.0</v>
      </c>
      <c r="Q39" s="3">
        <v>149.0</v>
      </c>
      <c r="R39" s="3">
        <v>132.0</v>
      </c>
      <c r="S39" s="3">
        <v>26.0</v>
      </c>
      <c r="T39" s="3">
        <v>4.0</v>
      </c>
    </row>
    <row r="40">
      <c r="A40" s="3">
        <v>39.0</v>
      </c>
      <c r="B40" s="3" t="s">
        <v>199</v>
      </c>
      <c r="C40" s="3">
        <v>0.332</v>
      </c>
      <c r="D40" s="3">
        <v>0.395</v>
      </c>
      <c r="E40" s="3">
        <v>0.49</v>
      </c>
      <c r="F40" s="3">
        <v>0.885</v>
      </c>
      <c r="G40" s="3">
        <v>43.0</v>
      </c>
      <c r="H40" s="3">
        <v>1333.0</v>
      </c>
      <c r="I40" s="3">
        <v>1188.0</v>
      </c>
      <c r="J40" s="3">
        <v>220.0</v>
      </c>
      <c r="K40" s="3">
        <v>395.0</v>
      </c>
      <c r="L40" s="3">
        <v>66.0</v>
      </c>
      <c r="M40" s="3">
        <v>8.0</v>
      </c>
      <c r="N40" s="3">
        <v>35.0</v>
      </c>
      <c r="O40" s="3">
        <v>202.0</v>
      </c>
      <c r="P40" s="3">
        <v>22.0</v>
      </c>
      <c r="Q40" s="3">
        <v>105.0</v>
      </c>
      <c r="R40" s="3">
        <v>136.0</v>
      </c>
      <c r="S40" s="3">
        <v>37.0</v>
      </c>
      <c r="T40" s="3">
        <v>3.0</v>
      </c>
    </row>
    <row r="41">
      <c r="A41" s="3">
        <v>40.0</v>
      </c>
      <c r="B41" s="3" t="s">
        <v>152</v>
      </c>
      <c r="C41" s="3">
        <v>0.33</v>
      </c>
      <c r="D41" s="3">
        <v>0.419</v>
      </c>
      <c r="E41" s="3">
        <v>0.491</v>
      </c>
      <c r="F41" s="3">
        <v>0.91</v>
      </c>
      <c r="G41" s="3">
        <v>43.0</v>
      </c>
      <c r="H41" s="3">
        <v>1398.0</v>
      </c>
      <c r="I41" s="3">
        <v>1165.0</v>
      </c>
      <c r="J41" s="3">
        <v>316.0</v>
      </c>
      <c r="K41" s="3">
        <v>385.0</v>
      </c>
      <c r="L41" s="3">
        <v>60.0</v>
      </c>
      <c r="M41" s="3">
        <v>20.0</v>
      </c>
      <c r="N41" s="3">
        <v>29.0</v>
      </c>
      <c r="O41" s="3">
        <v>285.0</v>
      </c>
      <c r="P41" s="3">
        <v>39.0</v>
      </c>
      <c r="Q41" s="3">
        <v>158.0</v>
      </c>
      <c r="R41" s="3">
        <v>147.0</v>
      </c>
      <c r="S41" s="3">
        <v>105.0</v>
      </c>
      <c r="T41" s="3">
        <v>8.0</v>
      </c>
    </row>
    <row r="42">
      <c r="A42" s="3">
        <v>41.0</v>
      </c>
      <c r="B42" s="3" t="s">
        <v>267</v>
      </c>
      <c r="C42" s="3">
        <v>0.33</v>
      </c>
      <c r="D42" s="3">
        <v>0.411</v>
      </c>
      <c r="E42" s="3">
        <v>0.551</v>
      </c>
      <c r="F42" s="3">
        <v>0.962</v>
      </c>
      <c r="G42" s="3">
        <v>48.0</v>
      </c>
      <c r="H42" s="3">
        <v>1490.0</v>
      </c>
      <c r="I42" s="3">
        <v>1271.0</v>
      </c>
      <c r="J42" s="3">
        <v>287.0</v>
      </c>
      <c r="K42" s="3">
        <v>419.0</v>
      </c>
      <c r="L42" s="3">
        <v>75.0</v>
      </c>
      <c r="M42" s="3">
        <v>7.0</v>
      </c>
      <c r="N42" s="3">
        <v>64.0</v>
      </c>
      <c r="O42" s="3">
        <v>274.0</v>
      </c>
      <c r="P42" s="3">
        <v>29.0</v>
      </c>
      <c r="Q42" s="3">
        <v>158.0</v>
      </c>
      <c r="R42" s="3">
        <v>199.0</v>
      </c>
      <c r="S42" s="3">
        <v>62.0</v>
      </c>
      <c r="T42" s="3">
        <v>14.0</v>
      </c>
    </row>
    <row r="43">
      <c r="A43" s="3">
        <v>42.0</v>
      </c>
      <c r="B43" s="3" t="s">
        <v>268</v>
      </c>
      <c r="C43" s="3">
        <v>0.33</v>
      </c>
      <c r="D43" s="3">
        <v>0.414</v>
      </c>
      <c r="E43" s="3">
        <v>0.503</v>
      </c>
      <c r="F43" s="3">
        <v>0.917</v>
      </c>
      <c r="G43" s="3">
        <v>42.0</v>
      </c>
      <c r="H43" s="3">
        <v>1302.0</v>
      </c>
      <c r="I43" s="3">
        <v>1093.0</v>
      </c>
      <c r="J43" s="3">
        <v>238.0</v>
      </c>
      <c r="K43" s="3">
        <v>361.0</v>
      </c>
      <c r="L43" s="3">
        <v>72.0</v>
      </c>
      <c r="M43" s="3">
        <v>9.0</v>
      </c>
      <c r="N43" s="3">
        <v>33.0</v>
      </c>
      <c r="O43" s="3">
        <v>214.0</v>
      </c>
      <c r="P43" s="3">
        <v>30.0</v>
      </c>
      <c r="Q43" s="3">
        <v>136.0</v>
      </c>
      <c r="R43" s="3">
        <v>182.0</v>
      </c>
      <c r="S43" s="3">
        <v>82.0</v>
      </c>
      <c r="T43" s="3">
        <v>13.0</v>
      </c>
    </row>
    <row r="44">
      <c r="A44" s="3">
        <v>43.0</v>
      </c>
      <c r="B44" s="3" t="s">
        <v>155</v>
      </c>
      <c r="C44" s="3">
        <v>0.329</v>
      </c>
      <c r="D44" s="3">
        <v>0.413</v>
      </c>
      <c r="E44" s="3">
        <v>0.573</v>
      </c>
      <c r="F44" s="3">
        <v>0.986</v>
      </c>
      <c r="G44" s="3">
        <v>42.0</v>
      </c>
      <c r="H44" s="3">
        <v>1343.0</v>
      </c>
      <c r="I44" s="3">
        <v>1130.0</v>
      </c>
      <c r="J44" s="3">
        <v>290.0</v>
      </c>
      <c r="K44" s="3">
        <v>372.0</v>
      </c>
      <c r="L44" s="3">
        <v>83.0</v>
      </c>
      <c r="M44" s="3">
        <v>3.0</v>
      </c>
      <c r="N44" s="3">
        <v>62.0</v>
      </c>
      <c r="O44" s="3">
        <v>270.0</v>
      </c>
      <c r="P44" s="3">
        <v>13.0</v>
      </c>
      <c r="Q44" s="3">
        <v>163.0</v>
      </c>
      <c r="R44" s="3">
        <v>171.0</v>
      </c>
      <c r="S44" s="3">
        <v>26.0</v>
      </c>
      <c r="T44" s="3">
        <v>7.0</v>
      </c>
    </row>
    <row r="45">
      <c r="A45" s="3">
        <v>44.0</v>
      </c>
      <c r="B45" s="3" t="s">
        <v>269</v>
      </c>
      <c r="C45" s="3">
        <v>0.329</v>
      </c>
      <c r="D45" s="3">
        <v>0.4</v>
      </c>
      <c r="E45" s="3">
        <v>0.477</v>
      </c>
      <c r="F45" s="3">
        <v>0.877</v>
      </c>
      <c r="G45" s="3">
        <v>45.0</v>
      </c>
      <c r="H45" s="3">
        <v>1366.0</v>
      </c>
      <c r="I45" s="3">
        <v>1173.0</v>
      </c>
      <c r="J45" s="3">
        <v>274.0</v>
      </c>
      <c r="K45" s="3">
        <v>386.0</v>
      </c>
      <c r="L45" s="3">
        <v>72.0</v>
      </c>
      <c r="M45" s="3">
        <v>7.0</v>
      </c>
      <c r="N45" s="3">
        <v>29.0</v>
      </c>
      <c r="O45" s="3">
        <v>251.0</v>
      </c>
      <c r="P45" s="3">
        <v>33.0</v>
      </c>
      <c r="Q45" s="3">
        <v>118.0</v>
      </c>
      <c r="R45" s="3">
        <v>154.0</v>
      </c>
      <c r="S45" s="3">
        <v>86.0</v>
      </c>
      <c r="T45" s="3">
        <v>10.0</v>
      </c>
    </row>
    <row r="46">
      <c r="A46" s="3">
        <v>45.0</v>
      </c>
      <c r="B46" s="3" t="s">
        <v>270</v>
      </c>
      <c r="C46" s="3">
        <v>0.328</v>
      </c>
      <c r="D46" s="3">
        <v>0.43</v>
      </c>
      <c r="E46" s="3">
        <v>0.561</v>
      </c>
      <c r="F46" s="3">
        <v>0.991</v>
      </c>
      <c r="G46" s="3">
        <v>44.0</v>
      </c>
      <c r="H46" s="3">
        <v>1353.0</v>
      </c>
      <c r="I46" s="3">
        <v>1110.0</v>
      </c>
      <c r="J46" s="3">
        <v>301.0</v>
      </c>
      <c r="K46" s="3">
        <v>364.0</v>
      </c>
      <c r="L46" s="3">
        <v>68.0</v>
      </c>
      <c r="M46" s="3">
        <v>10.0</v>
      </c>
      <c r="N46" s="3">
        <v>57.0</v>
      </c>
      <c r="O46" s="3">
        <v>274.0</v>
      </c>
      <c r="P46" s="3">
        <v>34.0</v>
      </c>
      <c r="Q46" s="3">
        <v>175.0</v>
      </c>
      <c r="R46" s="3">
        <v>153.0</v>
      </c>
      <c r="S46" s="3">
        <v>44.0</v>
      </c>
      <c r="T46" s="3">
        <v>12.0</v>
      </c>
    </row>
    <row r="47">
      <c r="A47" s="3">
        <v>46.0</v>
      </c>
      <c r="B47" s="3" t="s">
        <v>106</v>
      </c>
      <c r="C47" s="3">
        <v>0.326</v>
      </c>
      <c r="D47" s="3">
        <v>0.408</v>
      </c>
      <c r="E47" s="3">
        <v>0.592</v>
      </c>
      <c r="F47" s="3">
        <v>1.0</v>
      </c>
      <c r="G47" s="3">
        <v>39.0</v>
      </c>
      <c r="H47" s="3">
        <v>1258.0</v>
      </c>
      <c r="I47" s="3">
        <v>1080.0</v>
      </c>
      <c r="J47" s="3">
        <v>262.0</v>
      </c>
      <c r="K47" s="3">
        <v>352.0</v>
      </c>
      <c r="L47" s="3">
        <v>63.0</v>
      </c>
      <c r="M47" s="3">
        <v>10.0</v>
      </c>
      <c r="N47" s="3">
        <v>68.0</v>
      </c>
      <c r="O47" s="3">
        <v>249.0</v>
      </c>
      <c r="P47" s="3">
        <v>25.0</v>
      </c>
      <c r="Q47" s="3">
        <v>131.0</v>
      </c>
      <c r="R47" s="3">
        <v>145.0</v>
      </c>
      <c r="S47" s="3">
        <v>27.0</v>
      </c>
      <c r="T47" s="3">
        <v>9.0</v>
      </c>
    </row>
    <row r="48">
      <c r="A48" s="3">
        <v>47.0</v>
      </c>
      <c r="B48" s="3" t="s">
        <v>227</v>
      </c>
      <c r="C48" s="3">
        <v>0.325</v>
      </c>
      <c r="D48" s="3">
        <v>0.447</v>
      </c>
      <c r="E48" s="3">
        <v>0.572</v>
      </c>
      <c r="F48" s="3">
        <v>1.019</v>
      </c>
      <c r="G48" s="3">
        <v>34.0</v>
      </c>
      <c r="H48" s="3">
        <v>1078.0</v>
      </c>
      <c r="I48" s="3">
        <v>862.0</v>
      </c>
      <c r="J48" s="3">
        <v>259.0</v>
      </c>
      <c r="K48" s="3">
        <v>280.0</v>
      </c>
      <c r="L48" s="3">
        <v>41.0</v>
      </c>
      <c r="M48" s="3">
        <v>5.0</v>
      </c>
      <c r="N48" s="3">
        <v>54.0</v>
      </c>
      <c r="O48" s="3">
        <v>238.0</v>
      </c>
      <c r="P48" s="3">
        <v>40.0</v>
      </c>
      <c r="Q48" s="3">
        <v>160.0</v>
      </c>
      <c r="R48" s="3">
        <v>135.0</v>
      </c>
      <c r="S48" s="3">
        <v>17.0</v>
      </c>
      <c r="T48" s="3">
        <v>2.0</v>
      </c>
    </row>
    <row r="49">
      <c r="A49" s="3">
        <v>48.0</v>
      </c>
      <c r="B49" s="3" t="s">
        <v>72</v>
      </c>
      <c r="C49" s="3">
        <v>0.322</v>
      </c>
      <c r="D49" s="3">
        <v>0.385</v>
      </c>
      <c r="E49" s="3">
        <v>0.447</v>
      </c>
      <c r="F49" s="3">
        <v>0.831</v>
      </c>
      <c r="G49" s="3">
        <v>41.0</v>
      </c>
      <c r="H49" s="3">
        <v>1251.0</v>
      </c>
      <c r="I49" s="3">
        <v>1097.0</v>
      </c>
      <c r="J49" s="3">
        <v>221.0</v>
      </c>
      <c r="K49" s="3">
        <v>353.0</v>
      </c>
      <c r="L49" s="3">
        <v>44.0</v>
      </c>
      <c r="M49" s="3">
        <v>12.0</v>
      </c>
      <c r="N49" s="3">
        <v>23.0</v>
      </c>
      <c r="O49" s="3">
        <v>199.0</v>
      </c>
      <c r="P49" s="3">
        <v>18.0</v>
      </c>
      <c r="Q49" s="3">
        <v>104.0</v>
      </c>
      <c r="R49" s="3">
        <v>112.0</v>
      </c>
      <c r="S49" s="3">
        <v>89.0</v>
      </c>
      <c r="T49" s="3">
        <v>19.0</v>
      </c>
    </row>
    <row r="50">
      <c r="A50" s="3">
        <v>49.0</v>
      </c>
      <c r="B50" s="3" t="s">
        <v>271</v>
      </c>
      <c r="C50" s="3">
        <v>0.322</v>
      </c>
      <c r="D50" s="3">
        <v>0.393</v>
      </c>
      <c r="E50" s="3">
        <v>0.565</v>
      </c>
      <c r="F50" s="3">
        <v>0.959</v>
      </c>
      <c r="G50" s="3">
        <v>41.0</v>
      </c>
      <c r="H50" s="3">
        <v>1264.0</v>
      </c>
      <c r="I50" s="3">
        <v>1116.0</v>
      </c>
      <c r="J50" s="3">
        <v>252.0</v>
      </c>
      <c r="K50" s="3">
        <v>359.0</v>
      </c>
      <c r="L50" s="3">
        <v>68.0</v>
      </c>
      <c r="M50" s="3">
        <v>6.0</v>
      </c>
      <c r="N50" s="3">
        <v>64.0</v>
      </c>
      <c r="O50" s="3">
        <v>233.0</v>
      </c>
      <c r="P50" s="3">
        <v>37.0</v>
      </c>
      <c r="Q50" s="3">
        <v>98.0</v>
      </c>
      <c r="R50" s="3">
        <v>176.0</v>
      </c>
      <c r="S50" s="3">
        <v>25.0</v>
      </c>
      <c r="T50" s="3">
        <v>2.0</v>
      </c>
    </row>
    <row r="51">
      <c r="A51" s="3">
        <v>50.0</v>
      </c>
      <c r="B51" s="3" t="s">
        <v>240</v>
      </c>
      <c r="C51" s="3">
        <v>0.322</v>
      </c>
      <c r="D51" s="3">
        <v>0.417</v>
      </c>
      <c r="E51" s="3">
        <v>0.52</v>
      </c>
      <c r="F51" s="3">
        <v>0.937</v>
      </c>
      <c r="G51" s="3">
        <v>41.0</v>
      </c>
      <c r="H51" s="3">
        <v>1331.0</v>
      </c>
      <c r="I51" s="3">
        <v>1086.0</v>
      </c>
      <c r="J51" s="3">
        <v>276.0</v>
      </c>
      <c r="K51" s="3">
        <v>350.0</v>
      </c>
      <c r="L51" s="3">
        <v>64.0</v>
      </c>
      <c r="M51" s="3">
        <v>14.0</v>
      </c>
      <c r="N51" s="3">
        <v>41.0</v>
      </c>
      <c r="O51" s="3">
        <v>251.0</v>
      </c>
      <c r="P51" s="3">
        <v>37.0</v>
      </c>
      <c r="Q51" s="3">
        <v>161.0</v>
      </c>
      <c r="R51" s="3">
        <v>142.0</v>
      </c>
      <c r="S51" s="3">
        <v>40.0</v>
      </c>
      <c r="T51" s="3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1</v>
      </c>
      <c r="C1" s="3" t="s">
        <v>207</v>
      </c>
      <c r="D1" s="3" t="s">
        <v>208</v>
      </c>
      <c r="E1" s="3" t="s">
        <v>209</v>
      </c>
      <c r="F1" s="3" t="s">
        <v>212</v>
      </c>
      <c r="G1" s="3" t="s">
        <v>213</v>
      </c>
      <c r="H1" s="3" t="s">
        <v>214</v>
      </c>
      <c r="I1" s="3" t="s">
        <v>215</v>
      </c>
      <c r="J1" s="3" t="s">
        <v>12</v>
      </c>
      <c r="K1" s="3" t="s">
        <v>11</v>
      </c>
      <c r="L1" s="3" t="s">
        <v>216</v>
      </c>
      <c r="M1" s="3" t="s">
        <v>18</v>
      </c>
      <c r="N1" s="3" t="s">
        <v>19</v>
      </c>
      <c r="O1" s="3" t="s">
        <v>17</v>
      </c>
      <c r="P1" s="3" t="s">
        <v>4</v>
      </c>
    </row>
    <row r="2">
      <c r="A2" s="3">
        <v>1.0</v>
      </c>
      <c r="B2" s="3" t="s">
        <v>130</v>
      </c>
      <c r="C2" s="3">
        <v>37.0</v>
      </c>
      <c r="D2" s="3">
        <v>6.0</v>
      </c>
      <c r="E2" s="3">
        <v>1.11</v>
      </c>
      <c r="F2" s="3">
        <v>19.0</v>
      </c>
      <c r="G2" s="3">
        <v>10.0</v>
      </c>
      <c r="H2" s="3">
        <v>6.0</v>
      </c>
      <c r="I2" s="3">
        <v>276.1</v>
      </c>
      <c r="J2" s="3">
        <v>121.0</v>
      </c>
      <c r="K2" s="3">
        <v>52.0</v>
      </c>
      <c r="L2" s="3">
        <v>34.0</v>
      </c>
      <c r="M2" s="3">
        <v>90.0</v>
      </c>
      <c r="N2" s="3">
        <v>337.0</v>
      </c>
      <c r="O2" s="3">
        <v>21.0</v>
      </c>
      <c r="P2" s="3">
        <v>0.127</v>
      </c>
    </row>
    <row r="3">
      <c r="A3" s="3">
        <v>2.0</v>
      </c>
      <c r="B3" s="3" t="s">
        <v>197</v>
      </c>
      <c r="C3" s="3">
        <v>39.0</v>
      </c>
      <c r="D3" s="3">
        <v>9.0</v>
      </c>
      <c r="E3" s="3">
        <v>1.53</v>
      </c>
      <c r="F3" s="3">
        <v>4.0</v>
      </c>
      <c r="G3" s="3">
        <v>4.0</v>
      </c>
      <c r="H3" s="3">
        <v>8.0</v>
      </c>
      <c r="I3" s="3">
        <v>303.2</v>
      </c>
      <c r="J3" s="3">
        <v>190.0</v>
      </c>
      <c r="K3" s="3">
        <v>81.0</v>
      </c>
      <c r="L3" s="3">
        <v>52.0</v>
      </c>
      <c r="M3" s="3">
        <v>113.0</v>
      </c>
      <c r="N3" s="3">
        <v>256.0</v>
      </c>
      <c r="O3" s="3">
        <v>33.0</v>
      </c>
      <c r="P3" s="3">
        <v>0.177</v>
      </c>
    </row>
    <row r="4">
      <c r="A4" s="3">
        <v>3.0</v>
      </c>
      <c r="B4" s="3" t="s">
        <v>124</v>
      </c>
      <c r="C4" s="3">
        <v>39.0</v>
      </c>
      <c r="D4" s="3">
        <v>4.0</v>
      </c>
      <c r="E4" s="3">
        <v>1.68</v>
      </c>
      <c r="F4" s="3">
        <v>15.0</v>
      </c>
      <c r="G4" s="3">
        <v>7.0</v>
      </c>
      <c r="H4" s="3">
        <v>2.0</v>
      </c>
      <c r="I4" s="3">
        <v>273.2</v>
      </c>
      <c r="J4" s="3">
        <v>164.0</v>
      </c>
      <c r="K4" s="3">
        <v>69.0</v>
      </c>
      <c r="L4" s="3">
        <v>51.0</v>
      </c>
      <c r="M4" s="3">
        <v>80.0</v>
      </c>
      <c r="N4" s="3">
        <v>342.0</v>
      </c>
      <c r="O4" s="3">
        <v>16.0</v>
      </c>
      <c r="P4" s="3">
        <v>0.168</v>
      </c>
    </row>
    <row r="5">
      <c r="A5" s="3">
        <v>4.0</v>
      </c>
      <c r="B5" s="3" t="s">
        <v>33</v>
      </c>
      <c r="C5" s="3">
        <v>41.0</v>
      </c>
      <c r="D5" s="3">
        <v>3.0</v>
      </c>
      <c r="E5" s="3">
        <v>1.77</v>
      </c>
      <c r="F5" s="3">
        <v>25.0</v>
      </c>
      <c r="G5" s="3">
        <v>10.0</v>
      </c>
      <c r="H5" s="3">
        <v>2.0</v>
      </c>
      <c r="I5" s="3">
        <v>254.1</v>
      </c>
      <c r="J5" s="3">
        <v>157.0</v>
      </c>
      <c r="K5" s="3">
        <v>80.0</v>
      </c>
      <c r="L5" s="3">
        <v>50.0</v>
      </c>
      <c r="M5" s="3">
        <v>66.0</v>
      </c>
      <c r="N5" s="3">
        <v>314.0</v>
      </c>
      <c r="O5" s="3">
        <v>18.0</v>
      </c>
      <c r="P5" s="3">
        <v>0.171</v>
      </c>
    </row>
    <row r="6">
      <c r="A6" s="3">
        <v>5.0</v>
      </c>
      <c r="B6" s="3" t="s">
        <v>272</v>
      </c>
      <c r="C6" s="3">
        <v>41.0</v>
      </c>
      <c r="D6" s="3">
        <v>5.0</v>
      </c>
      <c r="E6" s="3">
        <v>1.94</v>
      </c>
      <c r="F6" s="3">
        <v>4.0</v>
      </c>
      <c r="G6" s="3">
        <v>4.0</v>
      </c>
      <c r="H6" s="3">
        <v>9.0</v>
      </c>
      <c r="I6" s="3">
        <v>302.0</v>
      </c>
      <c r="J6" s="3">
        <v>269.0</v>
      </c>
      <c r="K6" s="3">
        <v>98.0</v>
      </c>
      <c r="L6" s="3">
        <v>65.0</v>
      </c>
      <c r="M6" s="3">
        <v>63.0</v>
      </c>
      <c r="N6" s="3">
        <v>279.0</v>
      </c>
      <c r="O6" s="3">
        <v>36.0</v>
      </c>
      <c r="P6" s="3">
        <v>0.23</v>
      </c>
    </row>
    <row r="7">
      <c r="A7" s="3">
        <v>6.0</v>
      </c>
      <c r="B7" s="3" t="s">
        <v>273</v>
      </c>
      <c r="C7" s="3">
        <v>34.0</v>
      </c>
      <c r="D7" s="3">
        <v>11.0</v>
      </c>
      <c r="E7" s="3">
        <v>1.95</v>
      </c>
      <c r="F7" s="3">
        <v>21.0</v>
      </c>
      <c r="G7" s="3">
        <v>10.0</v>
      </c>
      <c r="H7" s="3">
        <v>7.0</v>
      </c>
      <c r="I7" s="3">
        <v>290.2</v>
      </c>
      <c r="J7" s="3">
        <v>179.0</v>
      </c>
      <c r="K7" s="3">
        <v>88.0</v>
      </c>
      <c r="L7" s="3">
        <v>63.0</v>
      </c>
      <c r="M7" s="3">
        <v>83.0</v>
      </c>
      <c r="N7" s="3">
        <v>390.0</v>
      </c>
      <c r="O7" s="3">
        <v>16.0</v>
      </c>
      <c r="P7" s="3">
        <v>0.173</v>
      </c>
    </row>
    <row r="8">
      <c r="A8" s="3">
        <v>7.0</v>
      </c>
      <c r="B8" s="3" t="s">
        <v>79</v>
      </c>
      <c r="C8" s="3">
        <v>30.0</v>
      </c>
      <c r="D8" s="3">
        <v>9.0</v>
      </c>
      <c r="E8" s="3">
        <v>2.02</v>
      </c>
      <c r="F8" s="3">
        <v>26.0</v>
      </c>
      <c r="G8" s="3">
        <v>11.0</v>
      </c>
      <c r="H8" s="3">
        <v>1.0</v>
      </c>
      <c r="I8" s="3">
        <v>251.0</v>
      </c>
      <c r="J8" s="3">
        <v>178.0</v>
      </c>
      <c r="K8" s="3">
        <v>86.0</v>
      </c>
      <c r="L8" s="3">
        <v>56.0</v>
      </c>
      <c r="M8" s="3">
        <v>71.0</v>
      </c>
      <c r="N8" s="3">
        <v>378.0</v>
      </c>
      <c r="O8" s="3">
        <v>6.0</v>
      </c>
      <c r="P8" s="3">
        <v>0.192</v>
      </c>
    </row>
    <row r="9">
      <c r="A9" s="3">
        <v>8.0</v>
      </c>
      <c r="B9" s="3" t="s">
        <v>106</v>
      </c>
      <c r="C9" s="3">
        <v>33.0</v>
      </c>
      <c r="D9" s="3">
        <v>6.0</v>
      </c>
      <c r="E9" s="3">
        <v>2.04</v>
      </c>
      <c r="F9" s="3">
        <v>12.0</v>
      </c>
      <c r="G9" s="3">
        <v>8.0</v>
      </c>
      <c r="H9" s="3">
        <v>11.0</v>
      </c>
      <c r="I9" s="3">
        <v>259.1</v>
      </c>
      <c r="J9" s="3">
        <v>211.0</v>
      </c>
      <c r="K9" s="3">
        <v>85.0</v>
      </c>
      <c r="L9" s="3">
        <v>59.0</v>
      </c>
      <c r="M9" s="3">
        <v>66.0</v>
      </c>
      <c r="N9" s="3">
        <v>331.0</v>
      </c>
      <c r="O9" s="3">
        <v>18.0</v>
      </c>
      <c r="P9" s="3">
        <v>0.213</v>
      </c>
    </row>
    <row r="10">
      <c r="A10" s="3">
        <v>9.0</v>
      </c>
      <c r="B10" s="3" t="s">
        <v>262</v>
      </c>
      <c r="C10" s="3">
        <v>34.0</v>
      </c>
      <c r="D10" s="3">
        <v>6.0</v>
      </c>
      <c r="E10" s="3">
        <v>2.3</v>
      </c>
      <c r="F10" s="3">
        <v>12.0</v>
      </c>
      <c r="G10" s="3">
        <v>8.0</v>
      </c>
      <c r="H10" s="3">
        <v>7.0</v>
      </c>
      <c r="I10" s="3">
        <v>245.2</v>
      </c>
      <c r="J10" s="3">
        <v>192.0</v>
      </c>
      <c r="K10" s="3">
        <v>97.0</v>
      </c>
      <c r="L10" s="3">
        <v>63.0</v>
      </c>
      <c r="M10" s="3">
        <v>100.0</v>
      </c>
      <c r="N10" s="3">
        <v>244.0</v>
      </c>
      <c r="O10" s="3">
        <v>18.0</v>
      </c>
      <c r="P10" s="3">
        <v>0.211</v>
      </c>
    </row>
    <row r="11">
      <c r="A11" s="3">
        <v>10.0</v>
      </c>
      <c r="B11" s="3" t="s">
        <v>274</v>
      </c>
      <c r="C11" s="3">
        <v>30.0</v>
      </c>
      <c r="D11" s="3">
        <v>15.0</v>
      </c>
      <c r="E11" s="3">
        <v>2.4</v>
      </c>
      <c r="F11" s="3">
        <v>14.0</v>
      </c>
      <c r="G11" s="3">
        <v>8.0</v>
      </c>
      <c r="H11" s="3">
        <v>2.0</v>
      </c>
      <c r="I11" s="3">
        <v>298.1</v>
      </c>
      <c r="J11" s="3">
        <v>249.0</v>
      </c>
      <c r="K11" s="3">
        <v>131.0</v>
      </c>
      <c r="L11" s="3">
        <v>80.0</v>
      </c>
      <c r="M11" s="3">
        <v>125.0</v>
      </c>
      <c r="N11" s="3">
        <v>245.0</v>
      </c>
      <c r="O11" s="3">
        <v>36.0</v>
      </c>
      <c r="P11" s="3">
        <v>0.219</v>
      </c>
    </row>
    <row r="12">
      <c r="A12" s="3">
        <v>11.0</v>
      </c>
      <c r="B12" s="3" t="s">
        <v>74</v>
      </c>
      <c r="C12" s="3">
        <v>39.0</v>
      </c>
      <c r="D12" s="3">
        <v>5.0</v>
      </c>
      <c r="E12" s="3">
        <v>2.42</v>
      </c>
      <c r="F12" s="3">
        <v>17.0</v>
      </c>
      <c r="G12" s="3">
        <v>9.0</v>
      </c>
      <c r="H12" s="3">
        <v>7.0</v>
      </c>
      <c r="I12" s="3">
        <v>287.1</v>
      </c>
      <c r="J12" s="3">
        <v>214.0</v>
      </c>
      <c r="K12" s="3">
        <v>107.0</v>
      </c>
      <c r="L12" s="3">
        <v>77.0</v>
      </c>
      <c r="M12" s="3">
        <v>110.0</v>
      </c>
      <c r="N12" s="3">
        <v>254.0</v>
      </c>
      <c r="O12" s="3">
        <v>32.0</v>
      </c>
      <c r="P12" s="3">
        <v>0.204</v>
      </c>
    </row>
    <row r="13">
      <c r="A13" s="3">
        <v>12.0</v>
      </c>
      <c r="B13" s="3" t="s">
        <v>275</v>
      </c>
      <c r="C13" s="3">
        <v>28.0</v>
      </c>
      <c r="D13" s="3">
        <v>15.0</v>
      </c>
      <c r="E13" s="3">
        <v>2.54</v>
      </c>
      <c r="F13" s="3">
        <v>17.0</v>
      </c>
      <c r="G13" s="3">
        <v>6.0</v>
      </c>
      <c r="H13" s="3">
        <v>5.0</v>
      </c>
      <c r="I13" s="3">
        <v>299.1</v>
      </c>
      <c r="J13" s="3">
        <v>289.0</v>
      </c>
      <c r="K13" s="3">
        <v>130.0</v>
      </c>
      <c r="L13" s="3">
        <v>84.0</v>
      </c>
      <c r="M13" s="3">
        <v>80.0</v>
      </c>
      <c r="N13" s="3">
        <v>273.0</v>
      </c>
      <c r="O13" s="3">
        <v>25.0</v>
      </c>
      <c r="P13" s="3">
        <v>0.252</v>
      </c>
    </row>
    <row r="14">
      <c r="A14" s="3">
        <v>13.0</v>
      </c>
      <c r="B14" s="3" t="s">
        <v>219</v>
      </c>
      <c r="C14" s="3">
        <v>24.0</v>
      </c>
      <c r="D14" s="3">
        <v>13.0</v>
      </c>
      <c r="E14" s="3">
        <v>2.58</v>
      </c>
      <c r="F14" s="3">
        <v>22.0</v>
      </c>
      <c r="G14" s="3">
        <v>4.0</v>
      </c>
      <c r="H14" s="3">
        <v>1.0</v>
      </c>
      <c r="I14" s="3">
        <v>236.0</v>
      </c>
      <c r="J14" s="3">
        <v>219.0</v>
      </c>
      <c r="K14" s="3">
        <v>119.0</v>
      </c>
      <c r="L14" s="3">
        <v>68.0</v>
      </c>
      <c r="M14" s="3">
        <v>93.0</v>
      </c>
      <c r="N14" s="3">
        <v>184.0</v>
      </c>
      <c r="O14" s="3">
        <v>23.0</v>
      </c>
      <c r="P14" s="3">
        <v>0.24</v>
      </c>
    </row>
    <row r="15">
      <c r="A15" s="3">
        <v>14.0</v>
      </c>
      <c r="B15" s="3" t="s">
        <v>52</v>
      </c>
      <c r="C15" s="3">
        <v>25.0</v>
      </c>
      <c r="D15" s="3">
        <v>14.0</v>
      </c>
      <c r="E15" s="3">
        <v>2.58</v>
      </c>
      <c r="F15" s="3">
        <v>8.0</v>
      </c>
      <c r="G15" s="3">
        <v>6.0</v>
      </c>
      <c r="H15" s="3">
        <v>8.0</v>
      </c>
      <c r="I15" s="3">
        <v>251.1</v>
      </c>
      <c r="J15" s="3">
        <v>220.0</v>
      </c>
      <c r="K15" s="3">
        <v>101.0</v>
      </c>
      <c r="L15" s="3">
        <v>72.0</v>
      </c>
      <c r="M15" s="3">
        <v>88.0</v>
      </c>
      <c r="N15" s="3">
        <v>205.0</v>
      </c>
      <c r="O15" s="3">
        <v>26.0</v>
      </c>
      <c r="P15" s="3">
        <v>0.228</v>
      </c>
    </row>
    <row r="16">
      <c r="A16" s="3">
        <v>15.0</v>
      </c>
      <c r="B16" s="3" t="s">
        <v>122</v>
      </c>
      <c r="C16" s="3">
        <v>36.0</v>
      </c>
      <c r="D16" s="3">
        <v>5.0</v>
      </c>
      <c r="E16" s="3">
        <v>2.58</v>
      </c>
      <c r="F16" s="3">
        <v>12.0</v>
      </c>
      <c r="G16" s="3">
        <v>3.0</v>
      </c>
      <c r="H16" s="3">
        <v>3.0</v>
      </c>
      <c r="I16" s="3">
        <v>263.0</v>
      </c>
      <c r="J16" s="3">
        <v>193.0</v>
      </c>
      <c r="K16" s="3">
        <v>105.0</v>
      </c>
      <c r="L16" s="3">
        <v>75.0</v>
      </c>
      <c r="M16" s="3">
        <v>150.0</v>
      </c>
      <c r="N16" s="3">
        <v>308.0</v>
      </c>
      <c r="O16" s="3">
        <v>22.0</v>
      </c>
      <c r="P16" s="3">
        <v>0.197</v>
      </c>
    </row>
    <row r="17">
      <c r="A17" s="3">
        <v>16.0</v>
      </c>
      <c r="B17" s="3" t="s">
        <v>270</v>
      </c>
      <c r="C17" s="3">
        <v>32.0</v>
      </c>
      <c r="D17" s="3">
        <v>11.0</v>
      </c>
      <c r="E17" s="3">
        <v>2.63</v>
      </c>
      <c r="F17" s="3">
        <v>10.0</v>
      </c>
      <c r="G17" s="3">
        <v>1.0</v>
      </c>
      <c r="H17" s="3">
        <v>4.0</v>
      </c>
      <c r="I17" s="3">
        <v>276.0</v>
      </c>
      <c r="J17" s="3">
        <v>218.0</v>
      </c>
      <c r="K17" s="3">
        <v>133.0</v>
      </c>
      <c r="L17" s="3">
        <v>81.0</v>
      </c>
      <c r="M17" s="3">
        <v>179.0</v>
      </c>
      <c r="N17" s="3">
        <v>163.0</v>
      </c>
      <c r="O17" s="3">
        <v>35.0</v>
      </c>
      <c r="P17" s="3">
        <v>0.211</v>
      </c>
    </row>
    <row r="18">
      <c r="A18" s="3">
        <v>17.0</v>
      </c>
      <c r="B18" s="3" t="s">
        <v>44</v>
      </c>
      <c r="C18" s="3">
        <v>32.0</v>
      </c>
      <c r="D18" s="3">
        <v>6.0</v>
      </c>
      <c r="E18" s="3">
        <v>2.69</v>
      </c>
      <c r="F18" s="3">
        <v>14.0</v>
      </c>
      <c r="G18" s="3">
        <v>5.0</v>
      </c>
      <c r="H18" s="3">
        <v>4.0</v>
      </c>
      <c r="I18" s="3">
        <v>239.0</v>
      </c>
      <c r="J18" s="3">
        <v>216.0</v>
      </c>
      <c r="K18" s="3">
        <v>111.0</v>
      </c>
      <c r="L18" s="3">
        <v>71.0</v>
      </c>
      <c r="M18" s="3">
        <v>95.0</v>
      </c>
      <c r="N18" s="3">
        <v>236.0</v>
      </c>
      <c r="O18" s="3">
        <v>24.0</v>
      </c>
      <c r="P18" s="3">
        <v>0.234</v>
      </c>
    </row>
    <row r="19">
      <c r="A19" s="3">
        <v>18.0</v>
      </c>
      <c r="B19" s="3" t="s">
        <v>276</v>
      </c>
      <c r="C19" s="3">
        <v>29.0</v>
      </c>
      <c r="D19" s="3">
        <v>14.0</v>
      </c>
      <c r="E19" s="3">
        <v>2.7</v>
      </c>
      <c r="F19" s="3">
        <v>18.0</v>
      </c>
      <c r="G19" s="3">
        <v>3.0</v>
      </c>
      <c r="H19" s="3">
        <v>2.0</v>
      </c>
      <c r="I19" s="3">
        <v>283.1</v>
      </c>
      <c r="J19" s="3">
        <v>252.0</v>
      </c>
      <c r="K19" s="3">
        <v>121.0</v>
      </c>
      <c r="L19" s="3">
        <v>85.0</v>
      </c>
      <c r="M19" s="3">
        <v>108.0</v>
      </c>
      <c r="N19" s="3">
        <v>214.0</v>
      </c>
      <c r="O19" s="3">
        <v>31.0</v>
      </c>
      <c r="P19" s="3">
        <v>0.236</v>
      </c>
    </row>
    <row r="20">
      <c r="A20" s="3">
        <v>19.0</v>
      </c>
      <c r="B20" s="3" t="s">
        <v>184</v>
      </c>
      <c r="C20" s="3">
        <v>25.0</v>
      </c>
      <c r="D20" s="3">
        <v>15.0</v>
      </c>
      <c r="E20" s="3">
        <v>2.73</v>
      </c>
      <c r="F20" s="3">
        <v>10.0</v>
      </c>
      <c r="G20" s="3">
        <v>3.0</v>
      </c>
      <c r="H20" s="3">
        <v>4.0</v>
      </c>
      <c r="I20" s="3">
        <v>269.0</v>
      </c>
      <c r="J20" s="3">
        <v>250.0</v>
      </c>
      <c r="K20" s="3">
        <v>127.0</v>
      </c>
      <c r="L20" s="3">
        <v>82.0</v>
      </c>
      <c r="M20" s="3">
        <v>120.0</v>
      </c>
      <c r="N20" s="3">
        <v>190.0</v>
      </c>
      <c r="O20" s="3">
        <v>29.0</v>
      </c>
      <c r="P20" s="3">
        <v>0.24</v>
      </c>
    </row>
    <row r="21">
      <c r="A21" s="3">
        <v>20.0</v>
      </c>
      <c r="B21" s="3" t="s">
        <v>277</v>
      </c>
      <c r="C21" s="3">
        <v>26.0</v>
      </c>
      <c r="D21" s="3">
        <v>15.0</v>
      </c>
      <c r="E21" s="3">
        <v>2.77</v>
      </c>
      <c r="F21" s="3">
        <v>18.0</v>
      </c>
      <c r="G21" s="3">
        <v>5.0</v>
      </c>
      <c r="H21" s="3">
        <v>3.0</v>
      </c>
      <c r="I21" s="3">
        <v>273.2</v>
      </c>
      <c r="J21" s="3">
        <v>275.0</v>
      </c>
      <c r="K21" s="3">
        <v>137.0</v>
      </c>
      <c r="L21" s="3">
        <v>84.0</v>
      </c>
      <c r="M21" s="3">
        <v>110.0</v>
      </c>
      <c r="N21" s="3">
        <v>190.0</v>
      </c>
      <c r="O21" s="3">
        <v>21.0</v>
      </c>
      <c r="P21" s="3">
        <v>0.254</v>
      </c>
    </row>
    <row r="22">
      <c r="A22" s="3">
        <v>21.0</v>
      </c>
      <c r="B22" s="3" t="s">
        <v>177</v>
      </c>
      <c r="C22" s="3">
        <v>28.0</v>
      </c>
      <c r="D22" s="3">
        <v>10.0</v>
      </c>
      <c r="E22" s="3">
        <v>2.82</v>
      </c>
      <c r="F22" s="3">
        <v>18.0</v>
      </c>
      <c r="G22" s="3">
        <v>4.0</v>
      </c>
      <c r="H22" s="3">
        <v>5.0</v>
      </c>
      <c r="I22" s="3">
        <v>249.0</v>
      </c>
      <c r="J22" s="3">
        <v>194.0</v>
      </c>
      <c r="K22" s="3">
        <v>116.0</v>
      </c>
      <c r="L22" s="3">
        <v>78.0</v>
      </c>
      <c r="M22" s="3">
        <v>95.0</v>
      </c>
      <c r="N22" s="3">
        <v>188.0</v>
      </c>
      <c r="O22" s="3">
        <v>18.0</v>
      </c>
      <c r="P22" s="3">
        <v>0.206</v>
      </c>
    </row>
    <row r="23">
      <c r="A23" s="3">
        <v>22.0</v>
      </c>
      <c r="B23" s="3" t="s">
        <v>227</v>
      </c>
      <c r="C23" s="3">
        <v>26.0</v>
      </c>
      <c r="D23" s="3">
        <v>8.0</v>
      </c>
      <c r="E23" s="3">
        <v>2.84</v>
      </c>
      <c r="F23" s="3">
        <v>13.0</v>
      </c>
      <c r="G23" s="3">
        <v>4.0</v>
      </c>
      <c r="H23" s="3">
        <v>1.0</v>
      </c>
      <c r="I23" s="3">
        <v>203.1</v>
      </c>
      <c r="J23" s="3">
        <v>201.0</v>
      </c>
      <c r="K23" s="3">
        <v>103.0</v>
      </c>
      <c r="L23" s="3">
        <v>64.0</v>
      </c>
      <c r="M23" s="3">
        <v>54.0</v>
      </c>
      <c r="N23" s="3">
        <v>177.0</v>
      </c>
      <c r="O23" s="3">
        <v>7.0</v>
      </c>
      <c r="P23" s="3">
        <v>0.25</v>
      </c>
    </row>
    <row r="24">
      <c r="A24" s="3">
        <v>23.0</v>
      </c>
      <c r="B24" s="3" t="s">
        <v>278</v>
      </c>
      <c r="C24" s="3">
        <v>32.0</v>
      </c>
      <c r="D24" s="3">
        <v>13.0</v>
      </c>
      <c r="E24" s="3">
        <v>2.84</v>
      </c>
      <c r="F24" s="3">
        <v>13.0</v>
      </c>
      <c r="G24" s="3">
        <v>5.0</v>
      </c>
      <c r="H24" s="3">
        <v>7.0</v>
      </c>
      <c r="I24" s="3">
        <v>305.2</v>
      </c>
      <c r="J24" s="3">
        <v>290.0</v>
      </c>
      <c r="K24" s="3">
        <v>144.0</v>
      </c>
      <c r="L24" s="3">
        <v>96.0</v>
      </c>
      <c r="M24" s="3">
        <v>122.0</v>
      </c>
      <c r="N24" s="3">
        <v>197.0</v>
      </c>
      <c r="O24" s="3">
        <v>28.0</v>
      </c>
      <c r="P24" s="3">
        <v>0.249</v>
      </c>
    </row>
    <row r="25">
      <c r="A25" s="3">
        <v>24.0</v>
      </c>
      <c r="B25" s="3" t="s">
        <v>54</v>
      </c>
      <c r="C25" s="3">
        <v>40.0</v>
      </c>
      <c r="D25" s="3">
        <v>4.0</v>
      </c>
      <c r="E25" s="3">
        <v>2.86</v>
      </c>
      <c r="F25" s="3">
        <v>6.0</v>
      </c>
      <c r="G25" s="3">
        <v>2.0</v>
      </c>
      <c r="H25" s="3">
        <v>3.0</v>
      </c>
      <c r="I25" s="3">
        <v>253.0</v>
      </c>
      <c r="J25" s="3">
        <v>218.0</v>
      </c>
      <c r="K25" s="3">
        <v>113.0</v>
      </c>
      <c r="L25" s="3">
        <v>80.0</v>
      </c>
      <c r="M25" s="3">
        <v>78.0</v>
      </c>
      <c r="N25" s="3">
        <v>219.0</v>
      </c>
      <c r="O25" s="3">
        <v>26.0</v>
      </c>
      <c r="P25" s="3">
        <v>0.229</v>
      </c>
    </row>
    <row r="26">
      <c r="A26" s="3">
        <v>25.0</v>
      </c>
      <c r="B26" s="3" t="s">
        <v>91</v>
      </c>
      <c r="C26" s="3">
        <v>33.0</v>
      </c>
      <c r="D26" s="3">
        <v>8.0</v>
      </c>
      <c r="E26" s="3">
        <v>2.86</v>
      </c>
      <c r="F26" s="3">
        <v>3.0</v>
      </c>
      <c r="G26" s="3">
        <v>0.0</v>
      </c>
      <c r="H26" s="3">
        <v>9.0</v>
      </c>
      <c r="I26" s="3">
        <v>270.2</v>
      </c>
      <c r="J26" s="3">
        <v>218.0</v>
      </c>
      <c r="K26" s="3">
        <v>124.0</v>
      </c>
      <c r="L26" s="3">
        <v>86.0</v>
      </c>
      <c r="M26" s="3">
        <v>121.0</v>
      </c>
      <c r="N26" s="3">
        <v>284.0</v>
      </c>
      <c r="O26" s="3">
        <v>16.0</v>
      </c>
      <c r="P26" s="3">
        <v>0.213</v>
      </c>
    </row>
    <row r="27">
      <c r="A27" s="3">
        <v>26.0</v>
      </c>
      <c r="B27" s="3" t="s">
        <v>279</v>
      </c>
      <c r="C27" s="3">
        <v>27.0</v>
      </c>
      <c r="D27" s="3">
        <v>15.0</v>
      </c>
      <c r="E27" s="3">
        <v>2.9</v>
      </c>
      <c r="F27" s="3">
        <v>16.0</v>
      </c>
      <c r="G27" s="3">
        <v>10.0</v>
      </c>
      <c r="H27" s="3">
        <v>3.0</v>
      </c>
      <c r="I27" s="3">
        <v>271.2</v>
      </c>
      <c r="J27" s="3">
        <v>270.0</v>
      </c>
      <c r="K27" s="3">
        <v>160.0</v>
      </c>
      <c r="L27" s="3">
        <v>88.0</v>
      </c>
      <c r="M27" s="3">
        <v>104.0</v>
      </c>
      <c r="N27" s="3">
        <v>172.0</v>
      </c>
      <c r="O27" s="3">
        <v>27.0</v>
      </c>
      <c r="P27" s="3">
        <v>0.249</v>
      </c>
    </row>
    <row r="28">
      <c r="A28" s="3">
        <v>27.0</v>
      </c>
      <c r="B28" s="3" t="s">
        <v>280</v>
      </c>
      <c r="C28" s="3">
        <v>29.0</v>
      </c>
      <c r="D28" s="3">
        <v>18.0</v>
      </c>
      <c r="E28" s="3">
        <v>2.91</v>
      </c>
      <c r="F28" s="3">
        <v>10.0</v>
      </c>
      <c r="G28" s="3">
        <v>3.0</v>
      </c>
      <c r="H28" s="3">
        <v>6.0</v>
      </c>
      <c r="I28" s="3">
        <v>311.2</v>
      </c>
      <c r="J28" s="3">
        <v>317.0</v>
      </c>
      <c r="K28" s="3">
        <v>151.0</v>
      </c>
      <c r="L28" s="3">
        <v>101.0</v>
      </c>
      <c r="M28" s="3">
        <v>123.0</v>
      </c>
      <c r="N28" s="3">
        <v>213.0</v>
      </c>
      <c r="O28" s="3">
        <v>26.0</v>
      </c>
      <c r="P28" s="3">
        <v>0.257</v>
      </c>
    </row>
    <row r="29">
      <c r="A29" s="3">
        <v>28.0</v>
      </c>
      <c r="B29" s="3" t="s">
        <v>186</v>
      </c>
      <c r="C29" s="3">
        <v>34.0</v>
      </c>
      <c r="D29" s="3">
        <v>9.0</v>
      </c>
      <c r="E29" s="3">
        <v>2.91</v>
      </c>
      <c r="F29" s="3">
        <v>12.0</v>
      </c>
      <c r="G29" s="3">
        <v>5.0</v>
      </c>
      <c r="H29" s="3">
        <v>2.0</v>
      </c>
      <c r="I29" s="3">
        <v>274.2</v>
      </c>
      <c r="J29" s="3">
        <v>251.0</v>
      </c>
      <c r="K29" s="3">
        <v>135.0</v>
      </c>
      <c r="L29" s="3">
        <v>89.0</v>
      </c>
      <c r="M29" s="3">
        <v>88.0</v>
      </c>
      <c r="N29" s="3">
        <v>245.0</v>
      </c>
      <c r="O29" s="3">
        <v>26.0</v>
      </c>
      <c r="P29" s="3">
        <v>0.235</v>
      </c>
    </row>
    <row r="30">
      <c r="A30" s="3">
        <v>29.0</v>
      </c>
      <c r="B30" s="3" t="s">
        <v>281</v>
      </c>
      <c r="C30" s="3">
        <v>31.0</v>
      </c>
      <c r="D30" s="3">
        <v>10.0</v>
      </c>
      <c r="E30" s="3">
        <v>3.08</v>
      </c>
      <c r="F30" s="3">
        <v>17.0</v>
      </c>
      <c r="G30" s="3">
        <v>6.0</v>
      </c>
      <c r="H30" s="3">
        <v>7.0</v>
      </c>
      <c r="I30" s="3">
        <v>276.0</v>
      </c>
      <c r="J30" s="3">
        <v>295.0</v>
      </c>
      <c r="K30" s="3">
        <v>143.0</v>
      </c>
      <c r="L30" s="3">
        <v>94.0</v>
      </c>
      <c r="M30" s="3">
        <v>101.0</v>
      </c>
      <c r="N30" s="3">
        <v>214.0</v>
      </c>
      <c r="O30" s="3">
        <v>16.0</v>
      </c>
      <c r="P30" s="3">
        <v>0.265</v>
      </c>
    </row>
    <row r="31">
      <c r="A31" s="3">
        <v>30.0</v>
      </c>
      <c r="B31" s="3" t="s">
        <v>282</v>
      </c>
      <c r="C31" s="3">
        <v>31.0</v>
      </c>
      <c r="D31" s="3">
        <v>15.0</v>
      </c>
      <c r="E31" s="3">
        <v>3.08</v>
      </c>
      <c r="F31" s="3">
        <v>14.0</v>
      </c>
      <c r="G31" s="3">
        <v>9.0</v>
      </c>
      <c r="H31" s="3">
        <v>5.0</v>
      </c>
      <c r="I31" s="3">
        <v>285.1</v>
      </c>
      <c r="J31" s="3">
        <v>282.0</v>
      </c>
      <c r="K31" s="3">
        <v>150.0</v>
      </c>
      <c r="L31" s="3">
        <v>98.0</v>
      </c>
      <c r="M31" s="3">
        <v>94.0</v>
      </c>
      <c r="N31" s="3">
        <v>194.0</v>
      </c>
      <c r="O31" s="3">
        <v>26.0</v>
      </c>
      <c r="P31" s="3">
        <v>0.25</v>
      </c>
    </row>
    <row r="32">
      <c r="A32" s="3">
        <v>31.0</v>
      </c>
      <c r="B32" s="3" t="s">
        <v>283</v>
      </c>
      <c r="C32" s="3">
        <v>25.0</v>
      </c>
      <c r="D32" s="3">
        <v>14.0</v>
      </c>
      <c r="E32" s="3">
        <v>3.1</v>
      </c>
      <c r="F32" s="3">
        <v>12.0</v>
      </c>
      <c r="G32" s="3">
        <v>5.0</v>
      </c>
      <c r="H32" s="3">
        <v>6.0</v>
      </c>
      <c r="I32" s="3">
        <v>252.2</v>
      </c>
      <c r="J32" s="3">
        <v>252.0</v>
      </c>
      <c r="K32" s="3">
        <v>136.0</v>
      </c>
      <c r="L32" s="3">
        <v>87.0</v>
      </c>
      <c r="M32" s="3">
        <v>72.0</v>
      </c>
      <c r="N32" s="3">
        <v>199.0</v>
      </c>
      <c r="O32" s="3">
        <v>15.0</v>
      </c>
      <c r="P32" s="3">
        <v>0.253</v>
      </c>
    </row>
    <row r="33">
      <c r="A33" s="3">
        <v>32.0</v>
      </c>
      <c r="B33" s="3" t="s">
        <v>161</v>
      </c>
      <c r="C33" s="3">
        <v>32.0</v>
      </c>
      <c r="D33" s="3">
        <v>10.0</v>
      </c>
      <c r="E33" s="3">
        <v>3.11</v>
      </c>
      <c r="F33" s="3">
        <v>6.0</v>
      </c>
      <c r="G33" s="3">
        <v>3.0</v>
      </c>
      <c r="H33" s="3">
        <v>3.0</v>
      </c>
      <c r="I33" s="3">
        <v>252.2</v>
      </c>
      <c r="J33" s="3">
        <v>231.0</v>
      </c>
      <c r="K33" s="3">
        <v>131.0</v>
      </c>
      <c r="L33" s="3">
        <v>87.0</v>
      </c>
      <c r="M33" s="3">
        <v>93.0</v>
      </c>
      <c r="N33" s="3">
        <v>170.0</v>
      </c>
      <c r="O33" s="3">
        <v>19.0</v>
      </c>
      <c r="P33" s="3">
        <v>0.238</v>
      </c>
    </row>
    <row r="34">
      <c r="A34" s="3">
        <v>33.0</v>
      </c>
      <c r="B34" s="3" t="s">
        <v>284</v>
      </c>
      <c r="C34" s="3">
        <v>20.0</v>
      </c>
      <c r="D34" s="3">
        <v>10.0</v>
      </c>
      <c r="E34" s="3">
        <v>3.12</v>
      </c>
      <c r="F34" s="3">
        <v>17.0</v>
      </c>
      <c r="G34" s="3">
        <v>5.0</v>
      </c>
      <c r="H34" s="3">
        <v>0.0</v>
      </c>
      <c r="I34" s="3">
        <v>208.2</v>
      </c>
      <c r="J34" s="3">
        <v>204.0</v>
      </c>
      <c r="K34" s="3">
        <v>107.0</v>
      </c>
      <c r="L34" s="3">
        <v>72.0</v>
      </c>
      <c r="M34" s="3">
        <v>74.0</v>
      </c>
      <c r="N34" s="3">
        <v>144.0</v>
      </c>
      <c r="O34" s="3">
        <v>19.0</v>
      </c>
      <c r="P34" s="3">
        <v>0.252</v>
      </c>
    </row>
    <row r="35">
      <c r="A35" s="3">
        <v>34.0</v>
      </c>
      <c r="B35" s="3" t="s">
        <v>205</v>
      </c>
      <c r="C35" s="3">
        <v>28.0</v>
      </c>
      <c r="D35" s="3">
        <v>12.0</v>
      </c>
      <c r="E35" s="3">
        <v>3.17</v>
      </c>
      <c r="F35" s="3">
        <v>16.0</v>
      </c>
      <c r="G35" s="3">
        <v>5.0</v>
      </c>
      <c r="H35" s="3">
        <v>6.0</v>
      </c>
      <c r="I35" s="3">
        <v>263.2</v>
      </c>
      <c r="J35" s="3">
        <v>248.0</v>
      </c>
      <c r="K35" s="3">
        <v>140.0</v>
      </c>
      <c r="L35" s="3">
        <v>93.0</v>
      </c>
      <c r="M35" s="3">
        <v>135.0</v>
      </c>
      <c r="N35" s="3">
        <v>214.0</v>
      </c>
      <c r="O35" s="3">
        <v>26.0</v>
      </c>
      <c r="P35" s="3">
        <v>0.244</v>
      </c>
    </row>
    <row r="36">
      <c r="A36" s="3">
        <v>35.0</v>
      </c>
      <c r="B36" s="3" t="s">
        <v>150</v>
      </c>
      <c r="C36" s="3">
        <v>31.0</v>
      </c>
      <c r="D36" s="3">
        <v>11.0</v>
      </c>
      <c r="E36" s="3">
        <v>3.17</v>
      </c>
      <c r="F36" s="3">
        <v>10.0</v>
      </c>
      <c r="G36" s="3">
        <v>3.0</v>
      </c>
      <c r="H36" s="3">
        <v>5.0</v>
      </c>
      <c r="I36" s="3">
        <v>249.2</v>
      </c>
      <c r="J36" s="3">
        <v>243.0</v>
      </c>
      <c r="K36" s="3">
        <v>117.0</v>
      </c>
      <c r="L36" s="3">
        <v>88.0</v>
      </c>
      <c r="M36" s="3">
        <v>117.0</v>
      </c>
      <c r="N36" s="3">
        <v>219.0</v>
      </c>
      <c r="O36" s="3">
        <v>21.0</v>
      </c>
      <c r="P36" s="3">
        <v>0.252</v>
      </c>
    </row>
    <row r="37">
      <c r="A37" s="3">
        <v>36.0</v>
      </c>
      <c r="B37" s="3" t="s">
        <v>285</v>
      </c>
      <c r="C37" s="3">
        <v>17.0</v>
      </c>
      <c r="D37" s="3">
        <v>18.0</v>
      </c>
      <c r="E37" s="3">
        <v>3.17</v>
      </c>
      <c r="F37" s="3">
        <v>18.0</v>
      </c>
      <c r="G37" s="3">
        <v>3.0</v>
      </c>
      <c r="H37" s="3">
        <v>1.0</v>
      </c>
      <c r="I37" s="3">
        <v>224.1</v>
      </c>
      <c r="J37" s="3">
        <v>235.0</v>
      </c>
      <c r="K37" s="3">
        <v>121.0</v>
      </c>
      <c r="L37" s="3">
        <v>79.0</v>
      </c>
      <c r="M37" s="3">
        <v>100.0</v>
      </c>
      <c r="N37" s="3">
        <v>117.0</v>
      </c>
      <c r="O37" s="3">
        <v>14.0</v>
      </c>
      <c r="P37" s="3">
        <v>0.267</v>
      </c>
    </row>
    <row r="38">
      <c r="A38" s="3">
        <v>37.0</v>
      </c>
      <c r="B38" s="3" t="s">
        <v>225</v>
      </c>
      <c r="C38" s="3">
        <v>26.0</v>
      </c>
      <c r="D38" s="3">
        <v>16.0</v>
      </c>
      <c r="E38" s="3">
        <v>3.19</v>
      </c>
      <c r="F38" s="3">
        <v>7.0</v>
      </c>
      <c r="G38" s="3">
        <v>4.0</v>
      </c>
      <c r="H38" s="3">
        <v>6.0</v>
      </c>
      <c r="I38" s="3">
        <v>271.2</v>
      </c>
      <c r="J38" s="3">
        <v>246.0</v>
      </c>
      <c r="K38" s="3">
        <v>133.0</v>
      </c>
      <c r="L38" s="3">
        <v>96.0</v>
      </c>
      <c r="M38" s="3">
        <v>118.0</v>
      </c>
      <c r="N38" s="3">
        <v>192.0</v>
      </c>
      <c r="O38" s="3">
        <v>23.0</v>
      </c>
      <c r="P38" s="3">
        <v>0.237</v>
      </c>
    </row>
    <row r="39">
      <c r="A39" s="3">
        <v>38.0</v>
      </c>
      <c r="B39" s="3" t="s">
        <v>286</v>
      </c>
      <c r="C39" s="3">
        <v>23.0</v>
      </c>
      <c r="D39" s="3">
        <v>20.0</v>
      </c>
      <c r="E39" s="3">
        <v>3.19</v>
      </c>
      <c r="F39" s="3">
        <v>2.0</v>
      </c>
      <c r="G39" s="3">
        <v>0.0</v>
      </c>
      <c r="H39" s="3">
        <v>2.0</v>
      </c>
      <c r="I39" s="3">
        <v>272.0</v>
      </c>
      <c r="J39" s="3">
        <v>271.0</v>
      </c>
      <c r="K39" s="3">
        <v>141.0</v>
      </c>
      <c r="L39" s="3">
        <v>96.0</v>
      </c>
      <c r="M39" s="3">
        <v>123.0</v>
      </c>
      <c r="N39" s="3">
        <v>225.0</v>
      </c>
      <c r="O39" s="3">
        <v>13.0</v>
      </c>
      <c r="P39" s="3">
        <v>0.255</v>
      </c>
    </row>
    <row r="40">
      <c r="A40" s="3">
        <v>39.0</v>
      </c>
      <c r="B40" s="3" t="s">
        <v>287</v>
      </c>
      <c r="C40" s="3">
        <v>25.0</v>
      </c>
      <c r="D40" s="3">
        <v>19.0</v>
      </c>
      <c r="E40" s="3">
        <v>3.2</v>
      </c>
      <c r="F40" s="3">
        <v>15.0</v>
      </c>
      <c r="G40" s="3">
        <v>7.0</v>
      </c>
      <c r="H40" s="3">
        <v>8.0</v>
      </c>
      <c r="I40" s="3">
        <v>291.1</v>
      </c>
      <c r="J40" s="3">
        <v>281.0</v>
      </c>
      <c r="K40" s="3">
        <v>159.0</v>
      </c>
      <c r="L40" s="3">
        <v>104.0</v>
      </c>
      <c r="M40" s="3">
        <v>129.0</v>
      </c>
      <c r="N40" s="3">
        <v>261.0</v>
      </c>
      <c r="O40" s="3">
        <v>27.0</v>
      </c>
      <c r="P40" s="3">
        <v>0.245</v>
      </c>
    </row>
    <row r="41">
      <c r="A41" s="3">
        <v>40.0</v>
      </c>
      <c r="B41" s="3" t="s">
        <v>288</v>
      </c>
      <c r="C41" s="3">
        <v>27.0</v>
      </c>
      <c r="D41" s="3">
        <v>11.0</v>
      </c>
      <c r="E41" s="3">
        <v>3.21</v>
      </c>
      <c r="F41" s="3">
        <v>16.0</v>
      </c>
      <c r="G41" s="3">
        <v>7.0</v>
      </c>
      <c r="H41" s="3">
        <v>1.0</v>
      </c>
      <c r="I41" s="3">
        <v>241.1</v>
      </c>
      <c r="J41" s="3">
        <v>245.0</v>
      </c>
      <c r="K41" s="3">
        <v>130.0</v>
      </c>
      <c r="L41" s="3">
        <v>86.0</v>
      </c>
      <c r="M41" s="3">
        <v>74.0</v>
      </c>
      <c r="N41" s="3">
        <v>198.0</v>
      </c>
      <c r="O41" s="3">
        <v>14.0</v>
      </c>
      <c r="P41" s="3">
        <v>0.255</v>
      </c>
    </row>
    <row r="42">
      <c r="A42" s="3">
        <v>41.0</v>
      </c>
      <c r="B42" s="3" t="s">
        <v>128</v>
      </c>
      <c r="C42" s="3">
        <v>18.0</v>
      </c>
      <c r="D42" s="3">
        <v>13.0</v>
      </c>
      <c r="E42" s="3">
        <v>3.23</v>
      </c>
      <c r="F42" s="3">
        <v>6.0</v>
      </c>
      <c r="G42" s="3">
        <v>2.0</v>
      </c>
      <c r="H42" s="3">
        <v>6.0</v>
      </c>
      <c r="I42" s="3">
        <v>216.0</v>
      </c>
      <c r="J42" s="3">
        <v>208.0</v>
      </c>
      <c r="K42" s="3">
        <v>128.0</v>
      </c>
      <c r="L42" s="3">
        <v>78.0</v>
      </c>
      <c r="M42" s="3">
        <v>80.0</v>
      </c>
      <c r="N42" s="3">
        <v>138.0</v>
      </c>
      <c r="O42" s="3">
        <v>14.0</v>
      </c>
      <c r="P42" s="3">
        <v>0.245</v>
      </c>
    </row>
    <row r="43">
      <c r="A43" s="3">
        <v>42.0</v>
      </c>
      <c r="B43" s="3" t="s">
        <v>175</v>
      </c>
      <c r="C43" s="3">
        <v>20.0</v>
      </c>
      <c r="D43" s="3">
        <v>10.0</v>
      </c>
      <c r="E43" s="3">
        <v>3.24</v>
      </c>
      <c r="F43" s="3">
        <v>19.0</v>
      </c>
      <c r="G43" s="3">
        <v>4.0</v>
      </c>
      <c r="H43" s="3">
        <v>1.0</v>
      </c>
      <c r="I43" s="3">
        <v>194.0</v>
      </c>
      <c r="J43" s="3">
        <v>194.0</v>
      </c>
      <c r="K43" s="3">
        <v>98.0</v>
      </c>
      <c r="L43" s="3">
        <v>70.0</v>
      </c>
      <c r="M43" s="3">
        <v>81.0</v>
      </c>
      <c r="N43" s="3">
        <v>132.0</v>
      </c>
      <c r="O43" s="3">
        <v>11.0</v>
      </c>
      <c r="P43" s="3">
        <v>0.255</v>
      </c>
    </row>
    <row r="44">
      <c r="A44" s="3">
        <v>43.0</v>
      </c>
      <c r="B44" s="3" t="s">
        <v>268</v>
      </c>
      <c r="C44" s="3">
        <v>25.0</v>
      </c>
      <c r="D44" s="3">
        <v>17.0</v>
      </c>
      <c r="E44" s="3">
        <v>3.25</v>
      </c>
      <c r="F44" s="3">
        <v>14.0</v>
      </c>
      <c r="G44" s="3">
        <v>6.0</v>
      </c>
      <c r="H44" s="3">
        <v>5.0</v>
      </c>
      <c r="I44" s="3">
        <v>263.1</v>
      </c>
      <c r="J44" s="3">
        <v>254.0</v>
      </c>
      <c r="K44" s="3">
        <v>151.0</v>
      </c>
      <c r="L44" s="3">
        <v>95.0</v>
      </c>
      <c r="M44" s="3">
        <v>124.0</v>
      </c>
      <c r="N44" s="3">
        <v>227.0</v>
      </c>
      <c r="O44" s="3">
        <v>27.0</v>
      </c>
      <c r="P44" s="3">
        <v>0.25</v>
      </c>
    </row>
    <row r="45">
      <c r="A45" s="3">
        <v>44.0</v>
      </c>
      <c r="B45" s="3" t="s">
        <v>23</v>
      </c>
      <c r="C45" s="3">
        <v>36.0</v>
      </c>
      <c r="D45" s="3">
        <v>7.0</v>
      </c>
      <c r="E45" s="3">
        <v>3.26</v>
      </c>
      <c r="F45" s="3">
        <v>2.0</v>
      </c>
      <c r="G45" s="3">
        <v>1.0</v>
      </c>
      <c r="H45" s="3">
        <v>4.0</v>
      </c>
      <c r="I45" s="3">
        <v>266.2</v>
      </c>
      <c r="J45" s="3">
        <v>236.0</v>
      </c>
      <c r="K45" s="3">
        <v>127.0</v>
      </c>
      <c r="L45" s="3">
        <v>97.0</v>
      </c>
      <c r="M45" s="3">
        <v>126.0</v>
      </c>
      <c r="N45" s="3">
        <v>233.0</v>
      </c>
      <c r="O45" s="3">
        <v>23.0</v>
      </c>
      <c r="P45" s="3">
        <v>0.235</v>
      </c>
    </row>
    <row r="46">
      <c r="A46" s="3">
        <v>45.0</v>
      </c>
      <c r="B46" s="3" t="s">
        <v>240</v>
      </c>
      <c r="C46" s="3">
        <v>32.0</v>
      </c>
      <c r="D46" s="3">
        <v>9.0</v>
      </c>
      <c r="E46" s="3">
        <v>3.26</v>
      </c>
      <c r="F46" s="3">
        <v>9.0</v>
      </c>
      <c r="G46" s="3">
        <v>3.0</v>
      </c>
      <c r="H46" s="3">
        <v>4.0</v>
      </c>
      <c r="I46" s="3">
        <v>266.2</v>
      </c>
      <c r="J46" s="3">
        <v>218.0</v>
      </c>
      <c r="K46" s="3">
        <v>144.0</v>
      </c>
      <c r="L46" s="3">
        <v>97.0</v>
      </c>
      <c r="M46" s="3">
        <v>100.0</v>
      </c>
      <c r="N46" s="3">
        <v>304.0</v>
      </c>
      <c r="O46" s="3">
        <v>13.0</v>
      </c>
      <c r="P46" s="3">
        <v>0.212</v>
      </c>
    </row>
    <row r="47">
      <c r="A47" s="3">
        <v>46.0</v>
      </c>
      <c r="B47" s="3" t="s">
        <v>139</v>
      </c>
      <c r="C47" s="3">
        <v>25.0</v>
      </c>
      <c r="D47" s="3">
        <v>21.0</v>
      </c>
      <c r="E47" s="3">
        <v>3.28</v>
      </c>
      <c r="F47" s="3">
        <v>15.0</v>
      </c>
      <c r="G47" s="3">
        <v>6.0</v>
      </c>
      <c r="H47" s="3">
        <v>2.0</v>
      </c>
      <c r="I47" s="3">
        <v>297.2</v>
      </c>
      <c r="J47" s="3">
        <v>332.0</v>
      </c>
      <c r="K47" s="3">
        <v>165.0</v>
      </c>
      <c r="L47" s="3">
        <v>108.0</v>
      </c>
      <c r="M47" s="3">
        <v>135.0</v>
      </c>
      <c r="N47" s="3">
        <v>212.0</v>
      </c>
      <c r="O47" s="3">
        <v>27.0</v>
      </c>
      <c r="P47" s="3">
        <v>0.276</v>
      </c>
    </row>
    <row r="48">
      <c r="A48" s="3">
        <v>47.0</v>
      </c>
      <c r="B48" s="3" t="s">
        <v>188</v>
      </c>
      <c r="C48" s="3">
        <v>31.0</v>
      </c>
      <c r="D48" s="3">
        <v>12.0</v>
      </c>
      <c r="E48" s="3">
        <v>3.31</v>
      </c>
      <c r="F48" s="3">
        <v>23.0</v>
      </c>
      <c r="G48" s="3">
        <v>5.0</v>
      </c>
      <c r="H48" s="3">
        <v>1.0</v>
      </c>
      <c r="I48" s="3">
        <v>287.1</v>
      </c>
      <c r="J48" s="3">
        <v>289.0</v>
      </c>
      <c r="K48" s="3">
        <v>176.0</v>
      </c>
      <c r="L48" s="3">
        <v>106.0</v>
      </c>
      <c r="M48" s="3">
        <v>149.0</v>
      </c>
      <c r="N48" s="3">
        <v>160.0</v>
      </c>
      <c r="O48" s="3">
        <v>19.0</v>
      </c>
      <c r="P48" s="3">
        <v>0.256</v>
      </c>
    </row>
    <row r="49">
      <c r="A49" s="3">
        <v>48.0</v>
      </c>
      <c r="B49" s="3" t="s">
        <v>289</v>
      </c>
      <c r="C49" s="3">
        <v>34.0</v>
      </c>
      <c r="D49" s="3">
        <v>14.0</v>
      </c>
      <c r="E49" s="3">
        <v>3.32</v>
      </c>
      <c r="F49" s="3">
        <v>15.0</v>
      </c>
      <c r="G49" s="3">
        <v>9.0</v>
      </c>
      <c r="H49" s="3">
        <v>4.0</v>
      </c>
      <c r="I49" s="3">
        <v>314.2</v>
      </c>
      <c r="J49" s="3">
        <v>300.0</v>
      </c>
      <c r="K49" s="3">
        <v>161.0</v>
      </c>
      <c r="L49" s="3">
        <v>116.0</v>
      </c>
      <c r="M49" s="3">
        <v>107.0</v>
      </c>
      <c r="N49" s="3">
        <v>241.0</v>
      </c>
      <c r="O49" s="3">
        <v>27.0</v>
      </c>
      <c r="P49" s="3">
        <v>0.245</v>
      </c>
    </row>
    <row r="50">
      <c r="A50" s="3">
        <v>49.0</v>
      </c>
      <c r="B50" s="3" t="s">
        <v>263</v>
      </c>
      <c r="C50" s="3">
        <v>29.0</v>
      </c>
      <c r="D50" s="3">
        <v>12.0</v>
      </c>
      <c r="E50" s="3">
        <v>3.36</v>
      </c>
      <c r="F50" s="3">
        <v>8.0</v>
      </c>
      <c r="G50" s="3">
        <v>2.0</v>
      </c>
      <c r="H50" s="3">
        <v>4.0</v>
      </c>
      <c r="I50" s="3">
        <v>254.0</v>
      </c>
      <c r="J50" s="3">
        <v>267.0</v>
      </c>
      <c r="K50" s="3">
        <v>153.0</v>
      </c>
      <c r="L50" s="3">
        <v>95.0</v>
      </c>
      <c r="M50" s="3">
        <v>123.0</v>
      </c>
      <c r="N50" s="3">
        <v>185.0</v>
      </c>
      <c r="O50" s="3">
        <v>20.0</v>
      </c>
      <c r="P50" s="3">
        <v>0.263</v>
      </c>
    </row>
    <row r="51">
      <c r="A51" s="3">
        <v>50.0</v>
      </c>
      <c r="B51" s="3" t="s">
        <v>290</v>
      </c>
      <c r="C51" s="3">
        <v>21.0</v>
      </c>
      <c r="D51" s="3">
        <v>17.0</v>
      </c>
      <c r="E51" s="3">
        <v>3.38</v>
      </c>
      <c r="F51" s="3">
        <v>8.0</v>
      </c>
      <c r="G51" s="3">
        <v>3.0</v>
      </c>
      <c r="H51" s="3">
        <v>7.0</v>
      </c>
      <c r="I51" s="3">
        <v>267.2</v>
      </c>
      <c r="J51" s="3">
        <v>287.0</v>
      </c>
      <c r="K51" s="3">
        <v>156.0</v>
      </c>
      <c r="L51" s="3">
        <v>101.0</v>
      </c>
      <c r="M51" s="3">
        <v>114.0</v>
      </c>
      <c r="N51" s="3">
        <v>154.0</v>
      </c>
      <c r="O51" s="3">
        <v>23.0</v>
      </c>
      <c r="P51" s="3">
        <v>0.274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291</v>
      </c>
      <c r="B1" s="3" t="s">
        <v>1</v>
      </c>
      <c r="C1" s="3" t="s">
        <v>292</v>
      </c>
      <c r="D1" s="3" t="s">
        <v>291</v>
      </c>
      <c r="E1" s="3" t="s">
        <v>293</v>
      </c>
      <c r="F1" s="3" t="s">
        <v>294</v>
      </c>
      <c r="G1" s="3" t="s">
        <v>295</v>
      </c>
      <c r="H1" s="3" t="s">
        <v>296</v>
      </c>
      <c r="I1" s="3" t="s">
        <v>297</v>
      </c>
      <c r="J1" s="3" t="s">
        <v>298</v>
      </c>
      <c r="K1" s="3" t="s">
        <v>299</v>
      </c>
      <c r="L1" s="3" t="s">
        <v>300</v>
      </c>
      <c r="M1" s="3" t="s">
        <v>301</v>
      </c>
      <c r="N1" s="3" t="s">
        <v>302</v>
      </c>
      <c r="O1" s="3" t="s">
        <v>303</v>
      </c>
      <c r="P1" s="3" t="s">
        <v>304</v>
      </c>
      <c r="Q1" s="3" t="s">
        <v>305</v>
      </c>
    </row>
    <row r="2">
      <c r="A2" s="3">
        <v>1.0</v>
      </c>
      <c r="B2" s="3" t="s">
        <v>262</v>
      </c>
      <c r="C2" s="3" t="s">
        <v>306</v>
      </c>
      <c r="D2" s="3">
        <v>1.0</v>
      </c>
      <c r="E2" s="3">
        <v>1.0</v>
      </c>
      <c r="F2" s="3" t="s">
        <v>307</v>
      </c>
      <c r="G2" s="4">
        <f>+2</f>
        <v>2</v>
      </c>
      <c r="H2" s="3" t="s">
        <v>308</v>
      </c>
      <c r="I2" s="3">
        <v>7.0</v>
      </c>
      <c r="J2" s="3">
        <v>19.0</v>
      </c>
      <c r="K2" s="3" t="s">
        <v>309</v>
      </c>
      <c r="L2" s="5">
        <v>46206.0</v>
      </c>
      <c r="M2" s="5">
        <v>46174.0</v>
      </c>
      <c r="N2" s="5">
        <v>46240.0</v>
      </c>
      <c r="O2" s="3" t="s">
        <v>310</v>
      </c>
      <c r="P2" s="3" t="s">
        <v>311</v>
      </c>
      <c r="Q2" s="3" t="s">
        <v>311</v>
      </c>
    </row>
    <row r="3">
      <c r="A3" s="3">
        <v>2.0</v>
      </c>
      <c r="B3" s="3" t="s">
        <v>44</v>
      </c>
      <c r="C3" s="3" t="s">
        <v>312</v>
      </c>
      <c r="D3" s="3">
        <v>2.0</v>
      </c>
      <c r="E3" s="3">
        <v>3.0</v>
      </c>
      <c r="F3" s="3" t="s">
        <v>307</v>
      </c>
      <c r="G3" s="3" t="s">
        <v>307</v>
      </c>
      <c r="H3" s="3" t="s">
        <v>313</v>
      </c>
      <c r="I3" s="3">
        <v>4.0</v>
      </c>
      <c r="J3" s="3">
        <v>21.0</v>
      </c>
      <c r="K3" s="3" t="s">
        <v>314</v>
      </c>
      <c r="L3" s="5">
        <v>46267.0</v>
      </c>
      <c r="M3" s="5">
        <v>46174.0</v>
      </c>
      <c r="N3" s="5">
        <v>46332.0</v>
      </c>
      <c r="O3" s="3" t="s">
        <v>315</v>
      </c>
      <c r="P3" s="3" t="s">
        <v>316</v>
      </c>
      <c r="Q3" s="3" t="s">
        <v>311</v>
      </c>
    </row>
    <row r="4">
      <c r="A4" s="3">
        <v>3.0</v>
      </c>
      <c r="B4" s="3" t="s">
        <v>74</v>
      </c>
      <c r="C4" s="3" t="s">
        <v>317</v>
      </c>
      <c r="D4" s="3">
        <v>3.0</v>
      </c>
      <c r="E4" s="3">
        <v>9.0</v>
      </c>
      <c r="F4" s="3" t="s">
        <v>307</v>
      </c>
      <c r="G4" s="4">
        <f>+1</f>
        <v>1</v>
      </c>
      <c r="H4" s="3" t="s">
        <v>318</v>
      </c>
      <c r="I4" s="3">
        <v>2.0</v>
      </c>
      <c r="J4" s="3">
        <v>17.0</v>
      </c>
      <c r="K4" s="3" t="s">
        <v>309</v>
      </c>
      <c r="L4" s="5">
        <v>46328.0</v>
      </c>
      <c r="M4" s="5">
        <v>46204.0</v>
      </c>
      <c r="N4" s="5">
        <v>46208.0</v>
      </c>
      <c r="O4" s="3" t="s">
        <v>319</v>
      </c>
      <c r="P4" s="3" t="s">
        <v>320</v>
      </c>
      <c r="Q4" s="3" t="s">
        <v>311</v>
      </c>
    </row>
    <row r="5">
      <c r="A5" s="3">
        <v>4.0</v>
      </c>
      <c r="B5" s="3" t="s">
        <v>124</v>
      </c>
      <c r="C5" s="3" t="s">
        <v>321</v>
      </c>
      <c r="D5" s="3">
        <v>4.0</v>
      </c>
      <c r="E5" s="3">
        <v>18.0</v>
      </c>
      <c r="F5" s="4">
        <f>+1</f>
        <v>1</v>
      </c>
      <c r="G5" s="3">
        <v>-3.0</v>
      </c>
      <c r="H5" s="3" t="s">
        <v>322</v>
      </c>
      <c r="I5" s="3">
        <v>8.0</v>
      </c>
      <c r="J5" s="3">
        <v>53.0</v>
      </c>
      <c r="K5" s="3" t="s">
        <v>309</v>
      </c>
      <c r="L5" s="5">
        <v>46358.0</v>
      </c>
      <c r="M5" s="3" t="s">
        <v>323</v>
      </c>
      <c r="N5" s="5">
        <v>46267.0</v>
      </c>
      <c r="O5" s="3" t="s">
        <v>324</v>
      </c>
      <c r="P5" s="5">
        <v>46235.0</v>
      </c>
      <c r="Q5" s="3" t="s">
        <v>323</v>
      </c>
    </row>
    <row r="6">
      <c r="A6" s="3">
        <v>5.0</v>
      </c>
      <c r="B6" s="3" t="s">
        <v>106</v>
      </c>
      <c r="C6" s="3" t="s">
        <v>312</v>
      </c>
      <c r="D6" s="3">
        <v>5.0</v>
      </c>
      <c r="E6" s="3">
        <v>4.0</v>
      </c>
      <c r="F6" s="3">
        <v>-1.0</v>
      </c>
      <c r="G6" s="3" t="s">
        <v>307</v>
      </c>
      <c r="H6" s="3" t="s">
        <v>325</v>
      </c>
      <c r="I6" s="3">
        <v>1.0</v>
      </c>
      <c r="J6" s="3">
        <v>1.0</v>
      </c>
      <c r="K6" s="5">
        <v>46357.0</v>
      </c>
      <c r="L6" s="5">
        <v>46296.0</v>
      </c>
      <c r="M6" s="5">
        <v>46330.0</v>
      </c>
      <c r="N6" s="5">
        <v>46239.0</v>
      </c>
      <c r="O6" s="5">
        <v>46296.0</v>
      </c>
      <c r="P6" s="3" t="s">
        <v>316</v>
      </c>
      <c r="Q6" s="3" t="s">
        <v>326</v>
      </c>
    </row>
    <row r="7">
      <c r="A7" s="3">
        <v>6.0</v>
      </c>
      <c r="B7" s="3" t="s">
        <v>130</v>
      </c>
      <c r="C7" s="3" t="s">
        <v>327</v>
      </c>
      <c r="D7" s="3">
        <v>6.0</v>
      </c>
      <c r="E7" s="3">
        <v>21.0</v>
      </c>
      <c r="F7" s="3" t="s">
        <v>307</v>
      </c>
      <c r="G7" s="3" t="s">
        <v>307</v>
      </c>
      <c r="H7" s="3" t="s">
        <v>328</v>
      </c>
      <c r="I7" s="3">
        <v>3.0</v>
      </c>
      <c r="J7" s="3">
        <v>67.0</v>
      </c>
      <c r="K7" s="3" t="s">
        <v>329</v>
      </c>
      <c r="L7" s="5">
        <v>46237.0</v>
      </c>
      <c r="M7" s="3" t="s">
        <v>330</v>
      </c>
      <c r="N7" s="5">
        <v>46331.0</v>
      </c>
      <c r="O7" s="5">
        <v>46174.0</v>
      </c>
      <c r="P7" s="3" t="s">
        <v>331</v>
      </c>
      <c r="Q7" s="3" t="s">
        <v>323</v>
      </c>
    </row>
    <row r="8">
      <c r="A8" s="3">
        <v>7.0</v>
      </c>
      <c r="B8" s="3" t="s">
        <v>54</v>
      </c>
      <c r="C8" s="3" t="s">
        <v>332</v>
      </c>
      <c r="D8" s="3">
        <v>7.0</v>
      </c>
      <c r="E8" s="3">
        <v>36.0</v>
      </c>
      <c r="F8" s="3" t="s">
        <v>307</v>
      </c>
      <c r="G8" s="4">
        <f>+1</f>
        <v>1</v>
      </c>
      <c r="H8" s="3" t="s">
        <v>333</v>
      </c>
      <c r="I8" s="3">
        <v>16.0</v>
      </c>
      <c r="J8" s="3">
        <v>99.0</v>
      </c>
      <c r="K8" s="3" t="s">
        <v>334</v>
      </c>
      <c r="L8" s="3" t="s">
        <v>335</v>
      </c>
      <c r="M8" s="5">
        <v>46204.0</v>
      </c>
      <c r="N8" s="5">
        <v>46329.0</v>
      </c>
      <c r="O8" s="3" t="s">
        <v>320</v>
      </c>
      <c r="P8" s="3" t="s">
        <v>320</v>
      </c>
      <c r="Q8" s="5">
        <v>46174.0</v>
      </c>
    </row>
    <row r="9">
      <c r="A9" s="3">
        <v>8.0</v>
      </c>
      <c r="B9" s="3" t="s">
        <v>36</v>
      </c>
      <c r="C9" s="3" t="s">
        <v>336</v>
      </c>
      <c r="D9" s="3">
        <v>8.0</v>
      </c>
      <c r="E9" s="3">
        <v>33.0</v>
      </c>
      <c r="F9" s="3" t="s">
        <v>307</v>
      </c>
      <c r="G9" s="3">
        <v>-1.0</v>
      </c>
      <c r="H9" s="3" t="s">
        <v>337</v>
      </c>
      <c r="I9" s="3">
        <v>6.0</v>
      </c>
      <c r="J9" s="3">
        <v>23.0</v>
      </c>
      <c r="K9" s="3" t="s">
        <v>319</v>
      </c>
      <c r="L9" s="5">
        <v>46236.0</v>
      </c>
      <c r="M9" s="3" t="s">
        <v>338</v>
      </c>
      <c r="N9" s="5">
        <v>46147.0</v>
      </c>
      <c r="O9" s="3" t="s">
        <v>315</v>
      </c>
      <c r="P9" s="3" t="s">
        <v>315</v>
      </c>
      <c r="Q9" s="3" t="s">
        <v>331</v>
      </c>
    </row>
    <row r="10">
      <c r="A10" s="3">
        <v>9.0</v>
      </c>
      <c r="B10" s="3" t="s">
        <v>33</v>
      </c>
      <c r="C10" s="3" t="s">
        <v>339</v>
      </c>
      <c r="D10" s="3">
        <v>9.0</v>
      </c>
      <c r="E10" s="3">
        <v>62.0</v>
      </c>
      <c r="F10" s="3" t="s">
        <v>307</v>
      </c>
      <c r="G10" s="4">
        <f>+2</f>
        <v>2</v>
      </c>
      <c r="H10" s="3" t="s">
        <v>318</v>
      </c>
      <c r="I10" s="3">
        <v>23.0</v>
      </c>
      <c r="J10" s="3">
        <v>134.0</v>
      </c>
      <c r="K10" s="3" t="s">
        <v>340</v>
      </c>
      <c r="L10" s="3" t="s">
        <v>341</v>
      </c>
      <c r="M10" s="3" t="s">
        <v>324</v>
      </c>
      <c r="N10" s="5">
        <v>46205.0</v>
      </c>
      <c r="O10" s="3" t="s">
        <v>342</v>
      </c>
      <c r="P10" s="3" t="s">
        <v>343</v>
      </c>
      <c r="Q10" s="3" t="s">
        <v>344</v>
      </c>
    </row>
    <row r="11">
      <c r="A11" s="3">
        <v>10.0</v>
      </c>
      <c r="B11" s="3" t="s">
        <v>150</v>
      </c>
      <c r="C11" s="3" t="s">
        <v>345</v>
      </c>
      <c r="D11" s="3">
        <v>10.0</v>
      </c>
      <c r="E11" s="3">
        <v>12.0</v>
      </c>
      <c r="F11" s="3" t="s">
        <v>307</v>
      </c>
      <c r="G11" s="3" t="s">
        <v>307</v>
      </c>
      <c r="H11" s="3" t="s">
        <v>346</v>
      </c>
      <c r="I11" s="3">
        <v>10.0</v>
      </c>
      <c r="J11" s="3">
        <v>15.0</v>
      </c>
      <c r="K11" s="3" t="s">
        <v>347</v>
      </c>
      <c r="L11" s="5">
        <v>46146.0</v>
      </c>
      <c r="M11" s="5">
        <v>46143.0</v>
      </c>
      <c r="N11" s="5">
        <v>46211.0</v>
      </c>
      <c r="O11" s="5">
        <v>46298.0</v>
      </c>
      <c r="P11" s="3" t="s">
        <v>342</v>
      </c>
      <c r="Q11" s="3" t="s">
        <v>331</v>
      </c>
    </row>
    <row r="12">
      <c r="A12" s="3">
        <v>11.0</v>
      </c>
      <c r="B12" s="3" t="s">
        <v>273</v>
      </c>
      <c r="C12" s="3" t="s">
        <v>348</v>
      </c>
      <c r="D12" s="3">
        <v>11.0</v>
      </c>
      <c r="E12" s="3">
        <v>13.0</v>
      </c>
      <c r="F12" s="4">
        <f t="shared" ref="F12:F13" si="1">+2</f>
        <v>2</v>
      </c>
      <c r="G12" s="4">
        <f t="shared" ref="G12:G14" si="2">+3</f>
        <v>3</v>
      </c>
      <c r="H12" s="3" t="s">
        <v>349</v>
      </c>
      <c r="I12" s="3">
        <v>13.0</v>
      </c>
      <c r="J12" s="3">
        <v>74.0</v>
      </c>
      <c r="K12" s="3" t="s">
        <v>350</v>
      </c>
      <c r="L12" s="5">
        <v>46239.0</v>
      </c>
      <c r="M12" s="3" t="s">
        <v>320</v>
      </c>
      <c r="N12" s="5">
        <v>46120.0</v>
      </c>
      <c r="O12" s="5">
        <v>46237.0</v>
      </c>
      <c r="P12" s="3" t="s">
        <v>331</v>
      </c>
      <c r="Q12" s="3" t="s">
        <v>315</v>
      </c>
    </row>
    <row r="13">
      <c r="A13" s="3">
        <v>12.0</v>
      </c>
      <c r="B13" s="3" t="s">
        <v>70</v>
      </c>
      <c r="C13" s="3" t="s">
        <v>351</v>
      </c>
      <c r="D13" s="3">
        <v>12.0</v>
      </c>
      <c r="E13" s="3">
        <v>8.0</v>
      </c>
      <c r="F13" s="4">
        <f t="shared" si="1"/>
        <v>2</v>
      </c>
      <c r="G13" s="4">
        <f t="shared" si="2"/>
        <v>3</v>
      </c>
      <c r="H13" s="3" t="s">
        <v>352</v>
      </c>
      <c r="I13" s="3">
        <v>34.0</v>
      </c>
      <c r="J13" s="3">
        <v>13.0</v>
      </c>
      <c r="K13" s="5">
        <v>46360.0</v>
      </c>
      <c r="L13" s="5">
        <v>46357.0</v>
      </c>
      <c r="M13" s="5">
        <v>46210.0</v>
      </c>
      <c r="N13" s="5">
        <v>46333.0</v>
      </c>
      <c r="O13" s="5">
        <v>46205.0</v>
      </c>
      <c r="P13" s="5">
        <v>46084.0</v>
      </c>
      <c r="Q13" s="3" t="s">
        <v>320</v>
      </c>
    </row>
    <row r="14">
      <c r="A14" s="3">
        <v>13.0</v>
      </c>
      <c r="B14" s="3" t="s">
        <v>276</v>
      </c>
      <c r="C14" s="3" t="s">
        <v>353</v>
      </c>
      <c r="D14" s="3">
        <v>13.0</v>
      </c>
      <c r="E14" s="3">
        <v>6.0</v>
      </c>
      <c r="F14" s="3">
        <v>-2.0</v>
      </c>
      <c r="G14" s="4">
        <f t="shared" si="2"/>
        <v>3</v>
      </c>
      <c r="H14" s="3" t="s">
        <v>354</v>
      </c>
      <c r="I14" s="3">
        <v>5.0</v>
      </c>
      <c r="J14" s="3">
        <v>9.0</v>
      </c>
      <c r="K14" s="3" t="s">
        <v>355</v>
      </c>
      <c r="L14" s="5">
        <v>46208.0</v>
      </c>
      <c r="M14" s="5">
        <v>46026.0</v>
      </c>
      <c r="N14" s="5">
        <v>46154.0</v>
      </c>
      <c r="O14" s="5">
        <v>46175.0</v>
      </c>
      <c r="P14" s="3" t="s">
        <v>315</v>
      </c>
      <c r="Q14" s="3" t="s">
        <v>320</v>
      </c>
    </row>
    <row r="15">
      <c r="A15" s="3">
        <v>14.0</v>
      </c>
      <c r="B15" s="3" t="s">
        <v>240</v>
      </c>
      <c r="C15" s="3" t="s">
        <v>356</v>
      </c>
      <c r="D15" s="3">
        <v>14.0</v>
      </c>
      <c r="E15" s="3">
        <v>22.0</v>
      </c>
      <c r="F15" s="3">
        <v>-2.0</v>
      </c>
      <c r="G15" s="3">
        <v>-2.0</v>
      </c>
      <c r="H15" s="3" t="s">
        <v>357</v>
      </c>
      <c r="I15" s="3">
        <v>15.0</v>
      </c>
      <c r="J15" s="3">
        <v>3.0</v>
      </c>
      <c r="K15" s="3" t="s">
        <v>341</v>
      </c>
      <c r="L15" s="5">
        <v>46268.0</v>
      </c>
      <c r="M15" s="5">
        <v>46270.0</v>
      </c>
      <c r="N15" s="5">
        <v>46055.0</v>
      </c>
      <c r="O15" s="5">
        <v>46239.0</v>
      </c>
      <c r="P15" s="3" t="s">
        <v>358</v>
      </c>
      <c r="Q15" s="3" t="s">
        <v>320</v>
      </c>
    </row>
    <row r="16">
      <c r="A16" s="3">
        <v>15.0</v>
      </c>
      <c r="B16" s="3" t="s">
        <v>120</v>
      </c>
      <c r="C16" s="3" t="s">
        <v>359</v>
      </c>
      <c r="D16" s="3">
        <v>15.0</v>
      </c>
      <c r="E16" s="3">
        <v>10.0</v>
      </c>
      <c r="F16" s="3" t="s">
        <v>307</v>
      </c>
      <c r="G16" s="3">
        <v>-2.0</v>
      </c>
      <c r="H16" s="3" t="s">
        <v>360</v>
      </c>
      <c r="I16" s="3">
        <v>12.0</v>
      </c>
      <c r="J16" s="3">
        <v>5.0</v>
      </c>
      <c r="K16" s="3" t="s">
        <v>361</v>
      </c>
      <c r="L16" s="5">
        <v>46178.0</v>
      </c>
      <c r="M16" s="5">
        <v>46024.0</v>
      </c>
      <c r="N16" s="5">
        <v>46182.0</v>
      </c>
      <c r="O16" s="3" t="s">
        <v>362</v>
      </c>
      <c r="P16" s="5">
        <v>46205.0</v>
      </c>
      <c r="Q16" s="3" t="s">
        <v>310</v>
      </c>
    </row>
    <row r="17">
      <c r="A17" s="3">
        <v>16.0</v>
      </c>
      <c r="B17" s="3" t="s">
        <v>23</v>
      </c>
      <c r="C17" s="3" t="s">
        <v>363</v>
      </c>
      <c r="D17" s="3">
        <v>16.0</v>
      </c>
      <c r="E17" s="3">
        <v>50.0</v>
      </c>
      <c r="F17" s="3" t="s">
        <v>307</v>
      </c>
      <c r="G17" s="3">
        <v>-7.0</v>
      </c>
      <c r="H17" s="3" t="s">
        <v>364</v>
      </c>
      <c r="I17" s="3">
        <v>9.0</v>
      </c>
      <c r="J17" s="3">
        <v>16.0</v>
      </c>
      <c r="K17" s="3" t="s">
        <v>333</v>
      </c>
      <c r="L17" s="5">
        <v>46206.0</v>
      </c>
      <c r="M17" s="5">
        <v>46055.0</v>
      </c>
      <c r="N17" s="5">
        <v>46088.0</v>
      </c>
      <c r="O17" s="3" t="s">
        <v>362</v>
      </c>
      <c r="P17" s="3" t="s">
        <v>326</v>
      </c>
      <c r="Q17" s="3" t="s">
        <v>319</v>
      </c>
    </row>
    <row r="18">
      <c r="A18" s="3">
        <v>17.0</v>
      </c>
      <c r="B18" s="3" t="s">
        <v>266</v>
      </c>
      <c r="C18" s="3" t="s">
        <v>365</v>
      </c>
      <c r="D18" s="3">
        <v>17.0</v>
      </c>
      <c r="E18" s="3">
        <v>7.0</v>
      </c>
      <c r="F18" s="3" t="s">
        <v>307</v>
      </c>
      <c r="G18" s="4">
        <f>+3</f>
        <v>3</v>
      </c>
      <c r="H18" s="3" t="s">
        <v>366</v>
      </c>
      <c r="I18" s="3">
        <v>14.0</v>
      </c>
      <c r="J18" s="3">
        <v>4.0</v>
      </c>
      <c r="K18" s="3" t="s">
        <v>367</v>
      </c>
      <c r="L18" s="5">
        <v>46207.0</v>
      </c>
      <c r="M18" s="3" t="s">
        <v>368</v>
      </c>
      <c r="N18" s="5">
        <v>46207.0</v>
      </c>
      <c r="O18" s="5">
        <v>46177.0</v>
      </c>
      <c r="P18" s="5">
        <v>46174.0</v>
      </c>
      <c r="Q18" s="5">
        <v>46206.0</v>
      </c>
    </row>
    <row r="19">
      <c r="A19" s="3">
        <v>18.0</v>
      </c>
      <c r="B19" s="3" t="s">
        <v>97</v>
      </c>
      <c r="C19" s="3" t="s">
        <v>369</v>
      </c>
      <c r="D19" s="3">
        <v>18.0</v>
      </c>
      <c r="E19" s="3">
        <v>14.0</v>
      </c>
      <c r="F19" s="3" t="s">
        <v>307</v>
      </c>
      <c r="G19" s="3">
        <v>-1.0</v>
      </c>
      <c r="H19" s="3" t="s">
        <v>367</v>
      </c>
      <c r="I19" s="3">
        <v>27.0</v>
      </c>
      <c r="J19" s="3">
        <v>30.0</v>
      </c>
      <c r="K19" s="3" t="s">
        <v>370</v>
      </c>
      <c r="L19" s="5">
        <v>46177.0</v>
      </c>
      <c r="M19" s="5">
        <v>46208.0</v>
      </c>
      <c r="N19" s="5">
        <v>46275.0</v>
      </c>
      <c r="O19" s="5">
        <v>46143.0</v>
      </c>
      <c r="P19" s="5">
        <v>46204.0</v>
      </c>
      <c r="Q19" s="3" t="s">
        <v>323</v>
      </c>
    </row>
    <row r="20">
      <c r="A20" s="3">
        <v>19.0</v>
      </c>
      <c r="B20" s="3" t="s">
        <v>122</v>
      </c>
      <c r="C20" s="3" t="s">
        <v>371</v>
      </c>
      <c r="D20" s="3">
        <v>19.0</v>
      </c>
      <c r="E20" s="3">
        <v>64.0</v>
      </c>
      <c r="F20" s="3" t="s">
        <v>307</v>
      </c>
      <c r="G20" s="3">
        <v>-1.0</v>
      </c>
      <c r="H20" s="3" t="s">
        <v>372</v>
      </c>
      <c r="I20" s="3">
        <v>11.0</v>
      </c>
      <c r="J20" s="3">
        <v>138.0</v>
      </c>
      <c r="K20" s="5">
        <v>46204.0</v>
      </c>
      <c r="L20" s="3" t="s">
        <v>373</v>
      </c>
      <c r="M20" s="3" t="s">
        <v>324</v>
      </c>
      <c r="N20" s="5">
        <v>46145.0</v>
      </c>
      <c r="O20" s="5">
        <v>46204.0</v>
      </c>
      <c r="P20" s="5">
        <v>46174.0</v>
      </c>
      <c r="Q20" s="3" t="s">
        <v>324</v>
      </c>
    </row>
    <row r="21">
      <c r="A21" s="3">
        <v>20.0</v>
      </c>
      <c r="B21" s="3" t="s">
        <v>374</v>
      </c>
      <c r="C21" s="3" t="s">
        <v>375</v>
      </c>
      <c r="D21" s="3">
        <v>20.0</v>
      </c>
      <c r="E21" s="3">
        <v>5.0</v>
      </c>
      <c r="F21" s="4">
        <f t="shared" ref="F21:F23" si="3">+1</f>
        <v>1</v>
      </c>
      <c r="G21" s="3">
        <v>-1.0</v>
      </c>
      <c r="H21" s="3" t="s">
        <v>376</v>
      </c>
      <c r="I21" s="3">
        <v>24.0</v>
      </c>
      <c r="J21" s="3">
        <v>51.0</v>
      </c>
      <c r="K21" s="5">
        <v>46365.0</v>
      </c>
      <c r="L21" s="5">
        <v>46209.0</v>
      </c>
      <c r="M21" s="5">
        <v>46237.0</v>
      </c>
      <c r="N21" s="5">
        <v>46066.0</v>
      </c>
      <c r="O21" s="5">
        <v>46082.0</v>
      </c>
      <c r="P21" s="5">
        <v>46358.0</v>
      </c>
      <c r="Q21" s="5">
        <v>46205.0</v>
      </c>
    </row>
    <row r="22">
      <c r="A22" s="3">
        <v>21.0</v>
      </c>
      <c r="B22" s="3" t="s">
        <v>288</v>
      </c>
      <c r="C22" s="3" t="s">
        <v>377</v>
      </c>
      <c r="D22" s="3">
        <v>21.0</v>
      </c>
      <c r="E22" s="3">
        <v>29.0</v>
      </c>
      <c r="F22" s="4">
        <f t="shared" si="3"/>
        <v>1</v>
      </c>
      <c r="G22" s="4">
        <f t="shared" ref="G22:G24" si="4">+1</f>
        <v>1</v>
      </c>
      <c r="H22" s="3" t="s">
        <v>378</v>
      </c>
      <c r="I22" s="3">
        <v>17.0</v>
      </c>
      <c r="J22" s="3">
        <v>37.0</v>
      </c>
      <c r="K22" s="5">
        <v>46238.0</v>
      </c>
      <c r="L22" s="5">
        <v>46270.0</v>
      </c>
      <c r="M22" s="5">
        <v>46297.0</v>
      </c>
      <c r="N22" s="5">
        <v>46182.0</v>
      </c>
      <c r="O22" s="3" t="s">
        <v>342</v>
      </c>
      <c r="P22" s="5">
        <v>46205.0</v>
      </c>
      <c r="Q22" s="3" t="s">
        <v>331</v>
      </c>
    </row>
    <row r="23">
      <c r="A23" s="3">
        <v>22.0</v>
      </c>
      <c r="B23" s="3" t="s">
        <v>270</v>
      </c>
      <c r="C23" s="3" t="s">
        <v>379</v>
      </c>
      <c r="D23" s="3">
        <v>22.0</v>
      </c>
      <c r="E23" s="3">
        <v>30.0</v>
      </c>
      <c r="F23" s="4">
        <f t="shared" si="3"/>
        <v>1</v>
      </c>
      <c r="G23" s="4">
        <f t="shared" si="4"/>
        <v>1</v>
      </c>
      <c r="H23" s="3" t="s">
        <v>380</v>
      </c>
      <c r="I23" s="3">
        <v>22.0</v>
      </c>
      <c r="J23" s="3">
        <v>107.0</v>
      </c>
      <c r="K23" s="3" t="s">
        <v>381</v>
      </c>
      <c r="L23" s="5">
        <v>46236.0</v>
      </c>
      <c r="M23" s="5">
        <v>46083.0</v>
      </c>
      <c r="N23" s="5">
        <v>46150.0</v>
      </c>
      <c r="O23" s="5">
        <v>46083.0</v>
      </c>
      <c r="P23" s="6">
        <v>37196.0</v>
      </c>
      <c r="Q23" s="3" t="s">
        <v>320</v>
      </c>
    </row>
    <row r="24">
      <c r="A24" s="3">
        <v>23.0</v>
      </c>
      <c r="B24" s="3" t="s">
        <v>281</v>
      </c>
      <c r="C24" s="3" t="s">
        <v>382</v>
      </c>
      <c r="D24" s="3">
        <v>23.0</v>
      </c>
      <c r="E24" s="3">
        <v>23.0</v>
      </c>
      <c r="F24" s="3">
        <v>-3.0</v>
      </c>
      <c r="G24" s="4">
        <f t="shared" si="4"/>
        <v>1</v>
      </c>
      <c r="H24" s="3" t="s">
        <v>383</v>
      </c>
      <c r="I24" s="3">
        <v>31.0</v>
      </c>
      <c r="J24" s="3">
        <v>7.0</v>
      </c>
      <c r="K24" s="3" t="s">
        <v>310</v>
      </c>
      <c r="L24" s="5">
        <v>46364.0</v>
      </c>
      <c r="M24" s="5">
        <v>46268.0</v>
      </c>
      <c r="N24" s="3" t="s">
        <v>384</v>
      </c>
      <c r="O24" s="5">
        <v>46055.0</v>
      </c>
      <c r="P24" s="3" t="s">
        <v>385</v>
      </c>
      <c r="Q24" s="5">
        <v>46266.0</v>
      </c>
    </row>
    <row r="25">
      <c r="A25" s="3">
        <v>24.0</v>
      </c>
      <c r="B25" s="3" t="s">
        <v>223</v>
      </c>
      <c r="C25" s="3" t="s">
        <v>386</v>
      </c>
      <c r="D25" s="3">
        <v>24.0</v>
      </c>
      <c r="E25" s="3">
        <v>32.0</v>
      </c>
      <c r="F25" s="3" t="s">
        <v>307</v>
      </c>
      <c r="G25" s="4">
        <f>+3</f>
        <v>3</v>
      </c>
      <c r="H25" s="3" t="s">
        <v>387</v>
      </c>
      <c r="I25" s="3">
        <v>18.0</v>
      </c>
      <c r="J25" s="3">
        <v>105.0</v>
      </c>
      <c r="K25" s="3" t="s">
        <v>388</v>
      </c>
      <c r="L25" s="5">
        <v>46207.0</v>
      </c>
      <c r="M25" s="3" t="s">
        <v>342</v>
      </c>
      <c r="N25" s="5">
        <v>46118.0</v>
      </c>
      <c r="O25" s="5">
        <v>46268.0</v>
      </c>
      <c r="P25" s="5">
        <v>46116.0</v>
      </c>
      <c r="Q25" s="3" t="s">
        <v>362</v>
      </c>
    </row>
    <row r="26">
      <c r="A26" s="3">
        <v>25.0</v>
      </c>
      <c r="B26" s="3" t="s">
        <v>91</v>
      </c>
      <c r="C26" s="3" t="s">
        <v>389</v>
      </c>
      <c r="D26" s="3">
        <v>25.0</v>
      </c>
      <c r="E26" s="3">
        <v>60.0</v>
      </c>
      <c r="F26" s="3" t="s">
        <v>307</v>
      </c>
      <c r="G26" s="4">
        <f>+1</f>
        <v>1</v>
      </c>
      <c r="H26" s="3" t="s">
        <v>313</v>
      </c>
      <c r="I26" s="3">
        <v>21.0</v>
      </c>
      <c r="J26" s="3">
        <v>197.0</v>
      </c>
      <c r="K26" s="3" t="s">
        <v>337</v>
      </c>
      <c r="L26" s="5">
        <v>46269.0</v>
      </c>
      <c r="M26" s="5">
        <v>46054.0</v>
      </c>
      <c r="N26" s="5">
        <v>46059.0</v>
      </c>
      <c r="O26" s="5">
        <v>46175.0</v>
      </c>
      <c r="P26" s="3" t="s">
        <v>315</v>
      </c>
      <c r="Q26" s="3" t="s">
        <v>315</v>
      </c>
    </row>
    <row r="27">
      <c r="A27" s="3">
        <v>26.0</v>
      </c>
      <c r="B27" s="3" t="s">
        <v>186</v>
      </c>
      <c r="C27" s="3" t="s">
        <v>390</v>
      </c>
      <c r="D27" s="3">
        <v>26.0</v>
      </c>
      <c r="E27" s="3">
        <v>56.0</v>
      </c>
      <c r="F27" s="3" t="s">
        <v>307</v>
      </c>
      <c r="G27" s="3">
        <v>-1.0</v>
      </c>
      <c r="H27" s="3" t="s">
        <v>391</v>
      </c>
      <c r="I27" s="3">
        <v>28.0</v>
      </c>
      <c r="J27" s="3">
        <v>41.0</v>
      </c>
      <c r="K27" s="3" t="s">
        <v>310</v>
      </c>
      <c r="L27" s="3" t="s">
        <v>341</v>
      </c>
      <c r="M27" s="5">
        <v>46273.0</v>
      </c>
      <c r="N27" s="5">
        <v>46058.0</v>
      </c>
      <c r="O27" s="5">
        <v>46204.0</v>
      </c>
      <c r="P27" s="5">
        <v>46236.0</v>
      </c>
      <c r="Q27" s="3" t="s">
        <v>324</v>
      </c>
    </row>
    <row r="28">
      <c r="A28" s="3">
        <v>27.0</v>
      </c>
      <c r="B28" s="3" t="s">
        <v>236</v>
      </c>
      <c r="C28" s="3" t="s">
        <v>392</v>
      </c>
      <c r="D28" s="3">
        <v>27.0</v>
      </c>
      <c r="E28" s="3">
        <v>16.0</v>
      </c>
      <c r="F28" s="3" t="s">
        <v>307</v>
      </c>
      <c r="G28" s="3">
        <v>-6.0</v>
      </c>
      <c r="H28" s="3" t="s">
        <v>391</v>
      </c>
      <c r="I28" s="3">
        <v>19.0</v>
      </c>
      <c r="J28" s="3">
        <v>29.0</v>
      </c>
      <c r="K28" s="3" t="s">
        <v>393</v>
      </c>
      <c r="L28" s="5">
        <v>46240.0</v>
      </c>
      <c r="M28" s="5">
        <v>46145.0</v>
      </c>
      <c r="N28" s="5">
        <v>46119.0</v>
      </c>
      <c r="O28" s="5">
        <v>46239.0</v>
      </c>
      <c r="P28" s="5">
        <v>46206.0</v>
      </c>
      <c r="Q28" s="5">
        <v>46175.0</v>
      </c>
    </row>
    <row r="29">
      <c r="A29" s="3">
        <v>28.0</v>
      </c>
      <c r="B29" s="3" t="s">
        <v>286</v>
      </c>
      <c r="C29" s="3" t="s">
        <v>394</v>
      </c>
      <c r="D29" s="3">
        <v>28.0</v>
      </c>
      <c r="E29" s="3">
        <v>2.0</v>
      </c>
      <c r="F29" s="3" t="s">
        <v>307</v>
      </c>
      <c r="G29" s="3" t="s">
        <v>307</v>
      </c>
      <c r="H29" s="3" t="s">
        <v>395</v>
      </c>
      <c r="I29" s="3">
        <v>26.0</v>
      </c>
      <c r="J29" s="3">
        <v>26.0</v>
      </c>
      <c r="K29" s="3" t="s">
        <v>396</v>
      </c>
      <c r="L29" s="5">
        <v>46177.0</v>
      </c>
      <c r="M29" s="5">
        <v>46025.0</v>
      </c>
      <c r="N29" s="5">
        <v>46099.0</v>
      </c>
      <c r="O29" s="5">
        <v>46082.0</v>
      </c>
      <c r="P29" s="3" t="s">
        <v>344</v>
      </c>
      <c r="Q29" s="3" t="s">
        <v>311</v>
      </c>
    </row>
    <row r="30">
      <c r="A30" s="3">
        <v>29.0</v>
      </c>
      <c r="B30" s="3" t="s">
        <v>397</v>
      </c>
      <c r="C30" s="3" t="s">
        <v>398</v>
      </c>
      <c r="D30" s="3">
        <v>29.0</v>
      </c>
      <c r="E30" s="3">
        <v>11.0</v>
      </c>
      <c r="F30" s="3" t="s">
        <v>307</v>
      </c>
      <c r="G30" s="4">
        <f>+1</f>
        <v>1</v>
      </c>
      <c r="H30" s="3" t="s">
        <v>347</v>
      </c>
      <c r="I30" s="3">
        <v>20.0</v>
      </c>
      <c r="J30" s="3">
        <v>28.0</v>
      </c>
      <c r="K30" s="3" t="s">
        <v>399</v>
      </c>
      <c r="L30" s="5">
        <v>46029.0</v>
      </c>
      <c r="M30" s="5">
        <v>46237.0</v>
      </c>
      <c r="N30" s="5">
        <v>46034.0</v>
      </c>
      <c r="O30" s="5">
        <v>46178.0</v>
      </c>
      <c r="P30" s="5">
        <v>46144.0</v>
      </c>
      <c r="Q30" s="3" t="s">
        <v>311</v>
      </c>
    </row>
    <row r="31">
      <c r="A31" s="3">
        <v>30.0</v>
      </c>
      <c r="B31" s="3" t="s">
        <v>272</v>
      </c>
      <c r="C31" s="3" t="s">
        <v>400</v>
      </c>
      <c r="D31" s="3">
        <v>30.0</v>
      </c>
      <c r="E31" s="3">
        <v>165.0</v>
      </c>
      <c r="F31" s="3" t="s">
        <v>307</v>
      </c>
      <c r="G31" s="3">
        <v>-1.0</v>
      </c>
      <c r="H31" s="3" t="s">
        <v>387</v>
      </c>
      <c r="I31" s="3">
        <v>32.0</v>
      </c>
      <c r="J31" s="3">
        <v>182.0</v>
      </c>
      <c r="K31" s="3" t="s">
        <v>401</v>
      </c>
      <c r="L31" s="5">
        <v>46266.0</v>
      </c>
      <c r="M31" s="3" t="s">
        <v>362</v>
      </c>
      <c r="N31" s="3" t="s">
        <v>402</v>
      </c>
      <c r="O31" s="3" t="s">
        <v>342</v>
      </c>
      <c r="P31" s="5">
        <v>46144.0</v>
      </c>
      <c r="Q31" s="3" t="s">
        <v>403</v>
      </c>
    </row>
    <row r="32">
      <c r="A32" s="3">
        <v>31.0</v>
      </c>
      <c r="B32" s="3" t="s">
        <v>278</v>
      </c>
      <c r="C32" s="3" t="s">
        <v>386</v>
      </c>
      <c r="D32" s="3">
        <v>31.0</v>
      </c>
      <c r="E32" s="3">
        <v>58.0</v>
      </c>
      <c r="F32" s="4">
        <f>+1</f>
        <v>1</v>
      </c>
      <c r="G32" s="4">
        <f>+10</f>
        <v>10</v>
      </c>
      <c r="H32" s="3" t="s">
        <v>404</v>
      </c>
      <c r="I32" s="3">
        <v>37.0</v>
      </c>
      <c r="J32" s="3">
        <v>18.0</v>
      </c>
      <c r="K32" s="3" t="s">
        <v>405</v>
      </c>
      <c r="L32" s="5">
        <v>46209.0</v>
      </c>
      <c r="M32" s="5">
        <v>46054.0</v>
      </c>
      <c r="N32" s="3" t="s">
        <v>384</v>
      </c>
      <c r="O32" s="5">
        <v>46056.0</v>
      </c>
      <c r="P32" s="5">
        <v>46298.0</v>
      </c>
      <c r="Q32" s="3" t="s">
        <v>338</v>
      </c>
    </row>
    <row r="33">
      <c r="A33" s="3">
        <v>32.0</v>
      </c>
      <c r="B33" s="3" t="s">
        <v>197</v>
      </c>
      <c r="C33" s="3" t="s">
        <v>406</v>
      </c>
      <c r="D33" s="3">
        <v>32.0</v>
      </c>
      <c r="E33" s="3">
        <v>122.0</v>
      </c>
      <c r="F33" s="3">
        <v>-1.0</v>
      </c>
      <c r="G33" s="4">
        <f>+5</f>
        <v>5</v>
      </c>
      <c r="H33" s="3" t="s">
        <v>383</v>
      </c>
      <c r="I33" s="3">
        <v>47.0</v>
      </c>
      <c r="J33" s="3">
        <v>36.0</v>
      </c>
      <c r="K33" s="5">
        <v>46327.0</v>
      </c>
      <c r="L33" s="3" t="s">
        <v>407</v>
      </c>
      <c r="M33" s="3" t="s">
        <v>335</v>
      </c>
      <c r="N33" s="5">
        <v>46024.0</v>
      </c>
      <c r="O33" s="5">
        <v>46116.0</v>
      </c>
      <c r="P33" s="5">
        <v>46175.0</v>
      </c>
      <c r="Q33" s="3" t="s">
        <v>408</v>
      </c>
    </row>
    <row r="34">
      <c r="A34" s="3">
        <v>33.0</v>
      </c>
      <c r="B34" s="3" t="s">
        <v>65</v>
      </c>
      <c r="C34" s="3" t="s">
        <v>390</v>
      </c>
      <c r="D34" s="3">
        <v>33.0</v>
      </c>
      <c r="E34" s="3">
        <v>130.0</v>
      </c>
      <c r="F34" s="4">
        <f>+1</f>
        <v>1</v>
      </c>
      <c r="G34" s="3">
        <v>-1.0</v>
      </c>
      <c r="H34" s="3" t="s">
        <v>364</v>
      </c>
      <c r="I34" s="3">
        <v>29.0</v>
      </c>
      <c r="J34" s="3">
        <v>172.0</v>
      </c>
      <c r="K34" s="5">
        <v>46328.0</v>
      </c>
      <c r="L34" s="5">
        <v>46333.0</v>
      </c>
      <c r="M34" s="3" t="s">
        <v>326</v>
      </c>
      <c r="N34" s="5">
        <v>46054.0</v>
      </c>
      <c r="O34" s="5">
        <v>46176.0</v>
      </c>
      <c r="P34" s="5">
        <v>46114.0</v>
      </c>
      <c r="Q34" s="3" t="s">
        <v>358</v>
      </c>
    </row>
    <row r="35">
      <c r="A35" s="3">
        <v>34.0</v>
      </c>
      <c r="B35" s="3" t="s">
        <v>275</v>
      </c>
      <c r="C35" s="3" t="s">
        <v>409</v>
      </c>
      <c r="D35" s="3">
        <v>34.0</v>
      </c>
      <c r="E35" s="3">
        <v>43.0</v>
      </c>
      <c r="F35" s="3">
        <v>-1.0</v>
      </c>
      <c r="G35" s="4">
        <f>+6</f>
        <v>6</v>
      </c>
      <c r="H35" s="3" t="s">
        <v>410</v>
      </c>
      <c r="I35" s="3">
        <v>52.0</v>
      </c>
      <c r="J35" s="3">
        <v>70.0</v>
      </c>
      <c r="K35" s="3" t="s">
        <v>411</v>
      </c>
      <c r="L35" s="5">
        <v>46239.0</v>
      </c>
      <c r="M35" s="5">
        <v>46082.0</v>
      </c>
      <c r="N35" s="5">
        <v>46059.0</v>
      </c>
      <c r="O35" s="5">
        <v>46176.0</v>
      </c>
      <c r="P35" s="5">
        <v>46269.0</v>
      </c>
      <c r="Q35" s="5">
        <v>46237.0</v>
      </c>
    </row>
    <row r="36">
      <c r="A36" s="3">
        <v>35.0</v>
      </c>
      <c r="B36" s="3" t="s">
        <v>76</v>
      </c>
      <c r="C36" s="3" t="s">
        <v>412</v>
      </c>
      <c r="D36" s="3">
        <v>35.0</v>
      </c>
      <c r="E36" s="3">
        <v>44.0</v>
      </c>
      <c r="F36" s="4">
        <f t="shared" ref="F36:F37" si="5">+1</f>
        <v>1</v>
      </c>
      <c r="G36" s="4">
        <f>+3</f>
        <v>3</v>
      </c>
      <c r="H36" s="3" t="s">
        <v>347</v>
      </c>
      <c r="I36" s="3">
        <v>38.0</v>
      </c>
      <c r="J36" s="3">
        <v>118.0</v>
      </c>
      <c r="K36" s="5">
        <v>46147.0</v>
      </c>
      <c r="L36" s="5">
        <v>46273.0</v>
      </c>
      <c r="M36" s="3" t="s">
        <v>413</v>
      </c>
      <c r="N36" s="5">
        <v>46030.0</v>
      </c>
      <c r="O36" s="5">
        <v>46178.0</v>
      </c>
      <c r="P36" s="5">
        <v>46205.0</v>
      </c>
      <c r="Q36" s="3" t="s">
        <v>344</v>
      </c>
    </row>
    <row r="37">
      <c r="A37" s="3">
        <v>36.0</v>
      </c>
      <c r="B37" s="3" t="s">
        <v>414</v>
      </c>
      <c r="C37" s="3" t="s">
        <v>415</v>
      </c>
      <c r="D37" s="3">
        <v>36.0</v>
      </c>
      <c r="E37" s="3">
        <v>84.0</v>
      </c>
      <c r="F37" s="4">
        <f t="shared" si="5"/>
        <v>1</v>
      </c>
      <c r="G37" s="3">
        <v>-3.0</v>
      </c>
      <c r="H37" s="3" t="s">
        <v>416</v>
      </c>
      <c r="I37" s="3">
        <v>64.0</v>
      </c>
      <c r="J37" s="3">
        <v>126.0</v>
      </c>
      <c r="K37" s="3" t="s">
        <v>417</v>
      </c>
      <c r="L37" s="5">
        <v>46333.0</v>
      </c>
      <c r="M37" s="5">
        <v>46176.0</v>
      </c>
      <c r="N37" s="3" t="s">
        <v>402</v>
      </c>
      <c r="O37" s="5">
        <v>46024.0</v>
      </c>
      <c r="P37" s="3" t="s">
        <v>314</v>
      </c>
      <c r="Q37" s="5">
        <v>46177.0</v>
      </c>
    </row>
    <row r="38">
      <c r="A38" s="3">
        <v>37.0</v>
      </c>
      <c r="B38" s="3" t="s">
        <v>46</v>
      </c>
      <c r="C38" s="3" t="s">
        <v>345</v>
      </c>
      <c r="D38" s="3">
        <v>37.0</v>
      </c>
      <c r="E38" s="3">
        <v>89.0</v>
      </c>
      <c r="F38" s="4">
        <f>+2</f>
        <v>2</v>
      </c>
      <c r="G38" s="4">
        <f>+5</f>
        <v>5</v>
      </c>
      <c r="H38" s="3" t="s">
        <v>309</v>
      </c>
      <c r="I38" s="3">
        <v>36.0</v>
      </c>
      <c r="J38" s="3">
        <v>180.0</v>
      </c>
      <c r="K38" s="3" t="s">
        <v>418</v>
      </c>
      <c r="L38" s="5">
        <v>46235.0</v>
      </c>
      <c r="M38" s="3" t="s">
        <v>368</v>
      </c>
      <c r="N38" s="5">
        <v>46062.0</v>
      </c>
      <c r="O38" s="3" t="s">
        <v>368</v>
      </c>
      <c r="P38" s="3" t="s">
        <v>310</v>
      </c>
      <c r="Q38" s="5">
        <v>46328.0</v>
      </c>
    </row>
    <row r="39">
      <c r="A39" s="3">
        <v>38.0</v>
      </c>
      <c r="B39" s="3" t="s">
        <v>227</v>
      </c>
      <c r="C39" s="3" t="s">
        <v>419</v>
      </c>
      <c r="D39" s="3">
        <v>38.0</v>
      </c>
      <c r="E39" s="3">
        <v>109.0</v>
      </c>
      <c r="F39" s="3" t="s">
        <v>307</v>
      </c>
      <c r="G39" s="4">
        <f>+10</f>
        <v>10</v>
      </c>
      <c r="H39" s="3" t="s">
        <v>357</v>
      </c>
      <c r="I39" s="3">
        <v>48.0</v>
      </c>
      <c r="J39" s="3">
        <v>151.0</v>
      </c>
      <c r="K39" s="3" t="s">
        <v>311</v>
      </c>
      <c r="L39" s="5">
        <v>46179.0</v>
      </c>
      <c r="M39" s="3" t="s">
        <v>413</v>
      </c>
      <c r="N39" s="3" t="s">
        <v>384</v>
      </c>
      <c r="O39" s="3" t="s">
        <v>420</v>
      </c>
      <c r="P39" s="5">
        <v>46176.0</v>
      </c>
      <c r="Q39" s="3" t="s">
        <v>310</v>
      </c>
    </row>
    <row r="40">
      <c r="A40" s="3">
        <v>39.0</v>
      </c>
      <c r="B40" s="3" t="s">
        <v>421</v>
      </c>
      <c r="C40" s="3" t="s">
        <v>422</v>
      </c>
      <c r="D40" s="3">
        <v>39.0</v>
      </c>
      <c r="E40" s="3">
        <v>26.0</v>
      </c>
      <c r="F40" s="4">
        <f>+2</f>
        <v>2</v>
      </c>
      <c r="G40" s="3">
        <v>-3.0</v>
      </c>
      <c r="H40" s="3" t="s">
        <v>423</v>
      </c>
      <c r="I40" s="3">
        <v>54.0</v>
      </c>
      <c r="J40" s="3">
        <v>73.0</v>
      </c>
      <c r="K40" s="5">
        <v>46115.0</v>
      </c>
      <c r="L40" s="5">
        <v>46242.0</v>
      </c>
      <c r="M40" s="5">
        <v>46299.0</v>
      </c>
      <c r="N40" s="3" t="s">
        <v>424</v>
      </c>
      <c r="O40" s="5">
        <v>46057.0</v>
      </c>
      <c r="P40" s="5">
        <v>46116.0</v>
      </c>
      <c r="Q40" s="3" t="s">
        <v>330</v>
      </c>
    </row>
    <row r="41">
      <c r="A41" s="3">
        <v>40.0</v>
      </c>
      <c r="B41" s="3" t="s">
        <v>425</v>
      </c>
      <c r="C41" s="3" t="s">
        <v>426</v>
      </c>
      <c r="D41" s="3">
        <v>40.0</v>
      </c>
      <c r="E41" s="3">
        <v>27.0</v>
      </c>
      <c r="F41" s="3" t="s">
        <v>307</v>
      </c>
      <c r="G41" s="3">
        <v>-6.0</v>
      </c>
      <c r="H41" s="3" t="s">
        <v>411</v>
      </c>
      <c r="I41" s="3">
        <v>39.0</v>
      </c>
      <c r="J41" s="3">
        <v>43.0</v>
      </c>
      <c r="K41" s="3" t="s">
        <v>427</v>
      </c>
      <c r="L41" s="5">
        <v>46184.0</v>
      </c>
      <c r="M41" s="3" t="s">
        <v>323</v>
      </c>
      <c r="N41" s="5">
        <v>46060.0</v>
      </c>
      <c r="O41" s="5">
        <v>46059.0</v>
      </c>
      <c r="P41" s="5">
        <v>46267.0</v>
      </c>
      <c r="Q41" s="5">
        <v>46268.0</v>
      </c>
    </row>
    <row r="42">
      <c r="A42" s="3">
        <v>41.0</v>
      </c>
      <c r="B42" s="3" t="s">
        <v>161</v>
      </c>
      <c r="C42" s="3" t="s">
        <v>428</v>
      </c>
      <c r="D42" s="3">
        <v>41.0</v>
      </c>
      <c r="E42" s="3">
        <v>117.0</v>
      </c>
      <c r="F42" s="4">
        <f t="shared" ref="F42:F43" si="6">+1</f>
        <v>1</v>
      </c>
      <c r="G42" s="4">
        <f>+12</f>
        <v>12</v>
      </c>
      <c r="H42" s="3" t="s">
        <v>429</v>
      </c>
      <c r="I42" s="3">
        <v>58.0</v>
      </c>
      <c r="J42" s="3">
        <v>208.0</v>
      </c>
      <c r="K42" s="3" t="s">
        <v>430</v>
      </c>
      <c r="L42" s="5">
        <v>46209.0</v>
      </c>
      <c r="M42" s="5">
        <v>46357.0</v>
      </c>
      <c r="N42" s="3" t="s">
        <v>431</v>
      </c>
      <c r="O42" s="5">
        <v>46113.0</v>
      </c>
      <c r="P42" s="5">
        <v>46176.0</v>
      </c>
      <c r="Q42" s="5">
        <v>46357.0</v>
      </c>
    </row>
    <row r="43">
      <c r="A43" s="3">
        <v>42.0</v>
      </c>
      <c r="B43" s="3" t="s">
        <v>263</v>
      </c>
      <c r="C43" s="3" t="s">
        <v>432</v>
      </c>
      <c r="D43" s="3">
        <v>42.0</v>
      </c>
      <c r="E43" s="3">
        <v>99.0</v>
      </c>
      <c r="F43" s="4">
        <f t="shared" si="6"/>
        <v>1</v>
      </c>
      <c r="G43" s="4">
        <f>+7</f>
        <v>7</v>
      </c>
      <c r="H43" s="3" t="s">
        <v>360</v>
      </c>
      <c r="I43" s="3">
        <v>53.0</v>
      </c>
      <c r="J43" s="3">
        <v>165.0</v>
      </c>
      <c r="K43" s="5">
        <v>46298.0</v>
      </c>
      <c r="L43" s="5">
        <v>46208.0</v>
      </c>
      <c r="M43" s="5">
        <v>46360.0</v>
      </c>
      <c r="N43" s="5">
        <v>46056.0</v>
      </c>
      <c r="O43" s="5">
        <v>46115.0</v>
      </c>
      <c r="P43" s="5">
        <v>46269.0</v>
      </c>
      <c r="Q43" s="5">
        <v>46204.0</v>
      </c>
    </row>
    <row r="44">
      <c r="A44" s="3">
        <v>43.0</v>
      </c>
      <c r="B44" s="3" t="s">
        <v>433</v>
      </c>
      <c r="C44" s="3" t="s">
        <v>434</v>
      </c>
      <c r="D44" s="3">
        <v>43.0</v>
      </c>
      <c r="E44" s="3">
        <v>19.0</v>
      </c>
      <c r="F44" s="4">
        <f t="shared" ref="F44:F45" si="7">+2</f>
        <v>2</v>
      </c>
      <c r="G44" s="4">
        <f>+3</f>
        <v>3</v>
      </c>
      <c r="H44" s="3" t="s">
        <v>435</v>
      </c>
      <c r="I44" s="3">
        <v>71.0</v>
      </c>
      <c r="J44" s="3">
        <v>102.0</v>
      </c>
      <c r="K44" s="5">
        <v>46271.0</v>
      </c>
      <c r="L44" s="5">
        <v>46242.0</v>
      </c>
      <c r="M44" s="5">
        <v>46150.0</v>
      </c>
      <c r="N44" s="5">
        <v>46124.0</v>
      </c>
      <c r="O44" s="5">
        <v>46085.0</v>
      </c>
      <c r="P44" s="5">
        <v>46179.0</v>
      </c>
      <c r="Q44" s="3" t="s">
        <v>362</v>
      </c>
    </row>
    <row r="45">
      <c r="A45" s="3">
        <v>44.0</v>
      </c>
      <c r="B45" s="3" t="s">
        <v>436</v>
      </c>
      <c r="C45" s="3" t="s">
        <v>437</v>
      </c>
      <c r="D45" s="3">
        <v>44.0</v>
      </c>
      <c r="E45" s="3">
        <v>17.0</v>
      </c>
      <c r="F45" s="4">
        <f t="shared" si="7"/>
        <v>2</v>
      </c>
      <c r="G45" s="4">
        <f>+14</f>
        <v>14</v>
      </c>
      <c r="H45" s="5">
        <v>46338.0</v>
      </c>
      <c r="I45" s="3">
        <v>65.0</v>
      </c>
      <c r="J45" s="3">
        <v>10.0</v>
      </c>
      <c r="K45" s="5">
        <v>46085.0</v>
      </c>
      <c r="L45" s="5">
        <v>46212.0</v>
      </c>
      <c r="M45" s="5">
        <v>46301.0</v>
      </c>
      <c r="N45" s="5">
        <v>46033.0</v>
      </c>
      <c r="O45" s="5">
        <v>46087.0</v>
      </c>
      <c r="P45" s="5">
        <v>46143.0</v>
      </c>
      <c r="Q45" s="3" t="s">
        <v>342</v>
      </c>
    </row>
    <row r="46">
      <c r="A46" s="3">
        <v>45.0</v>
      </c>
      <c r="B46" s="3" t="s">
        <v>79</v>
      </c>
      <c r="C46" s="3" t="s">
        <v>438</v>
      </c>
      <c r="D46" s="3">
        <v>45.0</v>
      </c>
      <c r="E46" s="3">
        <v>124.0</v>
      </c>
      <c r="F46" s="3">
        <v>-1.0</v>
      </c>
      <c r="G46" s="3">
        <v>-2.0</v>
      </c>
      <c r="H46" s="3" t="s">
        <v>366</v>
      </c>
      <c r="I46" s="3">
        <v>35.0</v>
      </c>
      <c r="J46" s="3">
        <v>27.0</v>
      </c>
      <c r="K46" s="3" t="s">
        <v>358</v>
      </c>
      <c r="L46" s="5">
        <v>46330.0</v>
      </c>
      <c r="M46" s="5">
        <v>46145.0</v>
      </c>
      <c r="N46" s="5">
        <v>46056.0</v>
      </c>
      <c r="O46" s="3" t="s">
        <v>368</v>
      </c>
      <c r="P46" s="5">
        <v>46175.0</v>
      </c>
      <c r="Q46" s="5">
        <v>46298.0</v>
      </c>
    </row>
    <row r="47">
      <c r="A47" s="3">
        <v>46.0</v>
      </c>
      <c r="B47" s="3" t="s">
        <v>287</v>
      </c>
      <c r="C47" s="3" t="s">
        <v>439</v>
      </c>
      <c r="D47" s="3">
        <v>46.0</v>
      </c>
      <c r="E47" s="3">
        <v>31.0</v>
      </c>
      <c r="F47" s="4">
        <f t="shared" ref="F47:G47" si="8">+1</f>
        <v>1</v>
      </c>
      <c r="G47" s="4">
        <f t="shared" si="8"/>
        <v>1</v>
      </c>
      <c r="H47" s="3" t="s">
        <v>440</v>
      </c>
      <c r="I47" s="3">
        <v>55.0</v>
      </c>
      <c r="J47" s="3">
        <v>20.0</v>
      </c>
      <c r="K47" s="3" t="s">
        <v>416</v>
      </c>
      <c r="L47" s="5">
        <v>46120.0</v>
      </c>
      <c r="M47" s="5">
        <v>46174.0</v>
      </c>
      <c r="N47" s="3" t="s">
        <v>424</v>
      </c>
      <c r="O47" s="5">
        <v>46087.0</v>
      </c>
      <c r="P47" s="5">
        <v>46298.0</v>
      </c>
      <c r="Q47" s="5">
        <v>46329.0</v>
      </c>
    </row>
    <row r="48">
      <c r="A48" s="3">
        <v>47.0</v>
      </c>
      <c r="B48" s="3" t="s">
        <v>441</v>
      </c>
      <c r="C48" s="3" t="s">
        <v>442</v>
      </c>
      <c r="D48" s="3">
        <v>47.0</v>
      </c>
      <c r="E48" s="3">
        <v>73.0</v>
      </c>
      <c r="F48" s="3">
        <v>-12.0</v>
      </c>
      <c r="G48" s="3">
        <v>-16.0</v>
      </c>
      <c r="H48" s="3" t="s">
        <v>352</v>
      </c>
      <c r="I48" s="3">
        <v>25.0</v>
      </c>
      <c r="J48" s="3">
        <v>39.0</v>
      </c>
      <c r="K48" s="3" t="s">
        <v>404</v>
      </c>
      <c r="L48" s="5">
        <v>46273.0</v>
      </c>
      <c r="M48" s="5">
        <v>46023.0</v>
      </c>
      <c r="N48" s="5">
        <v>46026.0</v>
      </c>
      <c r="O48" s="5">
        <v>46146.0</v>
      </c>
      <c r="P48" s="5">
        <v>46205.0</v>
      </c>
      <c r="Q48" s="5">
        <v>46302.0</v>
      </c>
    </row>
    <row r="49">
      <c r="A49" s="3">
        <v>48.0</v>
      </c>
      <c r="B49" s="3" t="s">
        <v>267</v>
      </c>
      <c r="C49" s="3" t="s">
        <v>443</v>
      </c>
      <c r="D49" s="3">
        <v>48.0</v>
      </c>
      <c r="E49" s="3">
        <v>34.0</v>
      </c>
      <c r="F49" s="4">
        <f>+1</f>
        <v>1</v>
      </c>
      <c r="G49" s="3">
        <v>-9.0</v>
      </c>
      <c r="H49" s="3" t="s">
        <v>444</v>
      </c>
      <c r="I49" s="3">
        <v>33.0</v>
      </c>
      <c r="J49" s="3">
        <v>40.0</v>
      </c>
      <c r="K49" s="3" t="s">
        <v>445</v>
      </c>
      <c r="L49" s="5">
        <v>46092.0</v>
      </c>
      <c r="M49" s="5">
        <v>46055.0</v>
      </c>
      <c r="N49" s="5">
        <v>46064.0</v>
      </c>
      <c r="O49" s="5">
        <v>46117.0</v>
      </c>
      <c r="P49" s="5">
        <v>46116.0</v>
      </c>
      <c r="Q49" s="5">
        <v>46358.0</v>
      </c>
    </row>
    <row r="50">
      <c r="A50" s="3">
        <v>49.0</v>
      </c>
      <c r="B50" s="3" t="s">
        <v>27</v>
      </c>
      <c r="C50" s="3" t="s">
        <v>446</v>
      </c>
      <c r="D50" s="3">
        <v>49.0</v>
      </c>
      <c r="E50" s="3">
        <v>38.0</v>
      </c>
      <c r="F50" s="3">
        <v>-1.0</v>
      </c>
      <c r="G50" s="3">
        <v>-14.0</v>
      </c>
      <c r="H50" s="3" t="s">
        <v>447</v>
      </c>
      <c r="I50" s="3">
        <v>44.0</v>
      </c>
      <c r="J50" s="3">
        <v>106.0</v>
      </c>
      <c r="K50" s="5">
        <v>46360.0</v>
      </c>
      <c r="L50" s="5">
        <v>46123.0</v>
      </c>
      <c r="M50" s="3" t="s">
        <v>331</v>
      </c>
      <c r="N50" s="5">
        <v>46026.0</v>
      </c>
      <c r="O50" s="5">
        <v>46062.0</v>
      </c>
      <c r="P50" s="3" t="s">
        <v>315</v>
      </c>
      <c r="Q50" s="5">
        <v>46236.0</v>
      </c>
    </row>
    <row r="51">
      <c r="A51" s="3">
        <v>50.0</v>
      </c>
      <c r="B51" s="3" t="s">
        <v>244</v>
      </c>
      <c r="C51" s="3" t="s">
        <v>448</v>
      </c>
      <c r="D51" s="3">
        <v>50.0</v>
      </c>
      <c r="E51" s="3">
        <v>20.0</v>
      </c>
      <c r="F51" s="3" t="s">
        <v>307</v>
      </c>
      <c r="G51" s="3" t="s">
        <v>307</v>
      </c>
      <c r="H51" s="3" t="s">
        <v>449</v>
      </c>
      <c r="I51" s="3">
        <v>41.0</v>
      </c>
      <c r="J51" s="3">
        <v>135.0</v>
      </c>
      <c r="K51" s="5">
        <v>46275.0</v>
      </c>
      <c r="L51" s="5">
        <v>46244.0</v>
      </c>
      <c r="M51" s="5">
        <v>46236.0</v>
      </c>
      <c r="N51" s="5">
        <v>46039.0</v>
      </c>
      <c r="O51" s="5">
        <v>46025.0</v>
      </c>
      <c r="P51" s="5">
        <v>46082.0</v>
      </c>
      <c r="Q51" s="3" t="s">
        <v>341</v>
      </c>
    </row>
    <row r="52">
      <c r="A52" s="3">
        <v>51.0</v>
      </c>
      <c r="B52" s="3" t="s">
        <v>40</v>
      </c>
      <c r="C52" s="3" t="s">
        <v>450</v>
      </c>
      <c r="D52" s="3">
        <v>51.0</v>
      </c>
      <c r="E52" s="3">
        <v>87.0</v>
      </c>
      <c r="F52" s="3" t="s">
        <v>307</v>
      </c>
      <c r="G52" s="3">
        <v>-6.0</v>
      </c>
      <c r="H52" s="3" t="s">
        <v>383</v>
      </c>
      <c r="I52" s="3">
        <v>42.0</v>
      </c>
      <c r="J52" s="3">
        <v>84.0</v>
      </c>
      <c r="K52" s="5">
        <v>46206.0</v>
      </c>
      <c r="L52" s="5">
        <v>46363.0</v>
      </c>
      <c r="M52" s="5">
        <v>46330.0</v>
      </c>
      <c r="N52" s="5">
        <v>46028.0</v>
      </c>
      <c r="O52" s="5">
        <v>46083.0</v>
      </c>
      <c r="P52" s="3" t="s">
        <v>451</v>
      </c>
      <c r="Q52" s="3" t="s">
        <v>350</v>
      </c>
    </row>
    <row r="53">
      <c r="A53" s="3">
        <v>52.0</v>
      </c>
      <c r="B53" s="3" t="s">
        <v>72</v>
      </c>
      <c r="C53" s="3" t="s">
        <v>452</v>
      </c>
      <c r="D53" s="3">
        <v>52.0</v>
      </c>
      <c r="E53" s="3">
        <v>110.0</v>
      </c>
      <c r="F53" s="4">
        <f>+1</f>
        <v>1</v>
      </c>
      <c r="G53" s="3" t="s">
        <v>307</v>
      </c>
      <c r="H53" s="3" t="s">
        <v>378</v>
      </c>
      <c r="I53" s="3">
        <v>30.0</v>
      </c>
      <c r="J53" s="3">
        <v>52.0</v>
      </c>
      <c r="K53" s="3" t="s">
        <v>347</v>
      </c>
      <c r="L53" s="5">
        <v>46148.0</v>
      </c>
      <c r="M53" s="5">
        <v>46054.0</v>
      </c>
      <c r="N53" s="5">
        <v>46025.0</v>
      </c>
      <c r="O53" s="5">
        <v>46115.0</v>
      </c>
      <c r="P53" s="5">
        <v>46085.0</v>
      </c>
      <c r="Q53" s="5">
        <v>46268.0</v>
      </c>
    </row>
    <row r="54">
      <c r="A54" s="3">
        <v>53.0</v>
      </c>
      <c r="B54" s="3" t="s">
        <v>141</v>
      </c>
      <c r="C54" s="3" t="s">
        <v>439</v>
      </c>
      <c r="D54" s="3">
        <v>53.0</v>
      </c>
      <c r="E54" s="3">
        <v>45.0</v>
      </c>
      <c r="F54" s="3">
        <v>-1.0</v>
      </c>
      <c r="G54" s="4">
        <f>+3</f>
        <v>3</v>
      </c>
      <c r="H54" s="3" t="s">
        <v>453</v>
      </c>
      <c r="I54" s="3">
        <v>51.0</v>
      </c>
      <c r="J54" s="3">
        <v>22.0</v>
      </c>
      <c r="K54" s="3" t="s">
        <v>378</v>
      </c>
      <c r="L54" s="5">
        <v>46182.0</v>
      </c>
      <c r="M54" s="5">
        <v>46058.0</v>
      </c>
      <c r="N54" s="5">
        <v>46026.0</v>
      </c>
      <c r="O54" s="5">
        <v>46028.0</v>
      </c>
      <c r="P54" s="5">
        <v>46242.0</v>
      </c>
      <c r="Q54" s="3" t="s">
        <v>324</v>
      </c>
    </row>
    <row r="55">
      <c r="A55" s="3">
        <v>54.0</v>
      </c>
      <c r="B55" s="3" t="s">
        <v>225</v>
      </c>
      <c r="C55" s="3" t="s">
        <v>454</v>
      </c>
      <c r="D55" s="3">
        <v>54.0</v>
      </c>
      <c r="E55" s="3">
        <v>66.0</v>
      </c>
      <c r="F55" s="4">
        <f>+1</f>
        <v>1</v>
      </c>
      <c r="G55" s="3">
        <v>-3.0</v>
      </c>
      <c r="H55" s="3" t="s">
        <v>350</v>
      </c>
      <c r="I55" s="3">
        <v>43.0</v>
      </c>
      <c r="J55" s="3">
        <v>94.0</v>
      </c>
      <c r="K55" s="3" t="s">
        <v>417</v>
      </c>
      <c r="L55" s="5">
        <v>46183.0</v>
      </c>
      <c r="M55" s="5">
        <v>46146.0</v>
      </c>
      <c r="N55" s="3" t="s">
        <v>384</v>
      </c>
      <c r="O55" s="5">
        <v>46085.0</v>
      </c>
      <c r="P55" s="5">
        <v>46272.0</v>
      </c>
      <c r="Q55" s="5">
        <v>46174.0</v>
      </c>
    </row>
    <row r="56">
      <c r="A56" s="3">
        <v>55.0</v>
      </c>
      <c r="B56" s="3" t="s">
        <v>280</v>
      </c>
      <c r="C56" s="3" t="s">
        <v>455</v>
      </c>
      <c r="D56" s="3">
        <v>55.0</v>
      </c>
      <c r="E56" s="3">
        <v>55.0</v>
      </c>
      <c r="F56" s="3">
        <v>-1.0</v>
      </c>
      <c r="G56" s="4">
        <f>+7</f>
        <v>7</v>
      </c>
      <c r="H56" s="3" t="s">
        <v>456</v>
      </c>
      <c r="I56" s="3">
        <v>92.0</v>
      </c>
      <c r="J56" s="3">
        <v>55.0</v>
      </c>
      <c r="K56" s="3" t="s">
        <v>370</v>
      </c>
      <c r="L56" s="5">
        <v>46184.0</v>
      </c>
      <c r="M56" s="5">
        <v>46177.0</v>
      </c>
      <c r="N56" s="3" t="s">
        <v>384</v>
      </c>
      <c r="O56" s="5">
        <v>46089.0</v>
      </c>
      <c r="P56" s="5">
        <v>46271.0</v>
      </c>
      <c r="Q56" s="3" t="s">
        <v>326</v>
      </c>
    </row>
    <row r="57">
      <c r="A57" s="3">
        <v>56.0</v>
      </c>
      <c r="B57" s="3" t="s">
        <v>250</v>
      </c>
      <c r="C57" s="3" t="s">
        <v>434</v>
      </c>
      <c r="D57" s="3">
        <v>56.0</v>
      </c>
      <c r="E57" s="3">
        <v>35.0</v>
      </c>
      <c r="F57" s="3" t="s">
        <v>307</v>
      </c>
      <c r="G57" s="3">
        <v>-12.0</v>
      </c>
      <c r="H57" s="3" t="s">
        <v>457</v>
      </c>
      <c r="I57" s="3">
        <v>50.0</v>
      </c>
      <c r="J57" s="3">
        <v>31.0</v>
      </c>
      <c r="K57" s="5">
        <v>46362.0</v>
      </c>
      <c r="L57" s="5">
        <v>46067.0</v>
      </c>
      <c r="M57" s="5">
        <v>46236.0</v>
      </c>
      <c r="N57" s="5">
        <v>46061.0</v>
      </c>
      <c r="O57" s="5">
        <v>46144.0</v>
      </c>
      <c r="P57" s="5">
        <v>46153.0</v>
      </c>
      <c r="Q57" s="5">
        <v>46143.0</v>
      </c>
    </row>
    <row r="58">
      <c r="A58" s="3">
        <v>57.0</v>
      </c>
      <c r="B58" s="3" t="s">
        <v>458</v>
      </c>
      <c r="C58" s="3" t="s">
        <v>459</v>
      </c>
      <c r="D58" s="3">
        <v>57.0</v>
      </c>
      <c r="E58" s="3">
        <v>63.0</v>
      </c>
      <c r="F58" s="3" t="s">
        <v>307</v>
      </c>
      <c r="G58" s="4">
        <f>+3</f>
        <v>3</v>
      </c>
      <c r="H58" s="3" t="s">
        <v>383</v>
      </c>
      <c r="I58" s="3">
        <v>49.0</v>
      </c>
      <c r="J58" s="3">
        <v>86.0</v>
      </c>
      <c r="K58" s="3" t="s">
        <v>360</v>
      </c>
      <c r="L58" s="5">
        <v>46086.0</v>
      </c>
      <c r="M58" s="5">
        <v>46086.0</v>
      </c>
      <c r="N58" s="3" t="s">
        <v>460</v>
      </c>
      <c r="O58" s="5">
        <v>46025.0</v>
      </c>
      <c r="P58" s="5">
        <v>46085.0</v>
      </c>
      <c r="Q58" s="3" t="s">
        <v>461</v>
      </c>
    </row>
    <row r="59">
      <c r="A59" s="3">
        <v>58.0</v>
      </c>
      <c r="B59" s="3" t="s">
        <v>279</v>
      </c>
      <c r="C59" s="3" t="s">
        <v>462</v>
      </c>
      <c r="D59" s="3">
        <v>58.0</v>
      </c>
      <c r="E59" s="3">
        <v>72.0</v>
      </c>
      <c r="F59" s="4">
        <f t="shared" ref="F59:F62" si="9">+1</f>
        <v>1</v>
      </c>
      <c r="G59" s="4">
        <f>+12</f>
        <v>12</v>
      </c>
      <c r="H59" s="3" t="s">
        <v>405</v>
      </c>
      <c r="I59" s="3">
        <v>84.0</v>
      </c>
      <c r="J59" s="3">
        <v>271.0</v>
      </c>
      <c r="K59" s="5">
        <v>46179.0</v>
      </c>
      <c r="L59" s="6">
        <v>37199.0</v>
      </c>
      <c r="M59" s="5">
        <v>46331.0</v>
      </c>
      <c r="N59" s="6">
        <v>36989.0</v>
      </c>
      <c r="O59" s="5">
        <v>46024.0</v>
      </c>
      <c r="P59" s="5">
        <v>46024.0</v>
      </c>
      <c r="Q59" s="5">
        <v>46357.0</v>
      </c>
    </row>
    <row r="60">
      <c r="A60" s="3">
        <v>59.0</v>
      </c>
      <c r="B60" s="3" t="s">
        <v>177</v>
      </c>
      <c r="C60" s="3" t="s">
        <v>463</v>
      </c>
      <c r="D60" s="3">
        <v>59.0</v>
      </c>
      <c r="E60" s="3">
        <v>141.0</v>
      </c>
      <c r="F60" s="4">
        <f t="shared" si="9"/>
        <v>1</v>
      </c>
      <c r="G60" s="3">
        <v>-5.0</v>
      </c>
      <c r="H60" s="3" t="s">
        <v>464</v>
      </c>
      <c r="I60" s="3">
        <v>69.0</v>
      </c>
      <c r="J60" s="3">
        <v>223.0</v>
      </c>
      <c r="K60" s="3" t="s">
        <v>343</v>
      </c>
      <c r="L60" s="5">
        <v>46150.0</v>
      </c>
      <c r="M60" s="5">
        <v>46113.0</v>
      </c>
      <c r="N60" s="3" t="s">
        <v>368</v>
      </c>
      <c r="O60" s="3" t="s">
        <v>384</v>
      </c>
      <c r="P60" s="5">
        <v>46239.0</v>
      </c>
      <c r="Q60" s="3" t="s">
        <v>324</v>
      </c>
    </row>
    <row r="61">
      <c r="A61" s="3">
        <v>60.0</v>
      </c>
      <c r="B61" s="3" t="s">
        <v>465</v>
      </c>
      <c r="C61" s="3" t="s">
        <v>466</v>
      </c>
      <c r="D61" s="3">
        <v>60.0</v>
      </c>
      <c r="E61" s="3">
        <v>75.0</v>
      </c>
      <c r="F61" s="4">
        <f t="shared" si="9"/>
        <v>1</v>
      </c>
      <c r="G61" s="4">
        <f>+6</f>
        <v>6</v>
      </c>
      <c r="H61" s="5">
        <v>46365.0</v>
      </c>
      <c r="I61" s="3">
        <v>68.0</v>
      </c>
      <c r="J61" s="3">
        <v>78.0</v>
      </c>
      <c r="K61" s="5">
        <v>46359.0</v>
      </c>
      <c r="L61" s="5">
        <v>46120.0</v>
      </c>
      <c r="M61" s="5">
        <v>46238.0</v>
      </c>
      <c r="N61" s="3" t="s">
        <v>402</v>
      </c>
      <c r="O61" s="5">
        <v>46060.0</v>
      </c>
      <c r="P61" s="5">
        <v>46085.0</v>
      </c>
      <c r="Q61" s="3" t="s">
        <v>340</v>
      </c>
    </row>
    <row r="62">
      <c r="A62" s="3">
        <v>61.0</v>
      </c>
      <c r="B62" s="3" t="s">
        <v>205</v>
      </c>
      <c r="C62" s="3" t="s">
        <v>467</v>
      </c>
      <c r="D62" s="3">
        <v>61.0</v>
      </c>
      <c r="E62" s="3">
        <v>167.0</v>
      </c>
      <c r="F62" s="4">
        <f t="shared" si="9"/>
        <v>1</v>
      </c>
      <c r="G62" s="3" t="s">
        <v>307</v>
      </c>
      <c r="H62" s="5">
        <v>46366.0</v>
      </c>
      <c r="I62" s="3">
        <v>40.0</v>
      </c>
      <c r="J62" s="3">
        <v>35.0</v>
      </c>
      <c r="K62" s="3" t="s">
        <v>373</v>
      </c>
      <c r="L62" s="5">
        <v>46237.0</v>
      </c>
      <c r="M62" s="5">
        <v>46117.0</v>
      </c>
      <c r="N62" s="5">
        <v>46060.0</v>
      </c>
      <c r="O62" s="5">
        <v>46023.0</v>
      </c>
      <c r="P62" s="3" t="s">
        <v>342</v>
      </c>
      <c r="Q62" s="5">
        <v>46298.0</v>
      </c>
    </row>
    <row r="63">
      <c r="A63" s="3">
        <v>62.0</v>
      </c>
      <c r="B63" s="3" t="s">
        <v>264</v>
      </c>
      <c r="C63" s="3" t="s">
        <v>468</v>
      </c>
      <c r="D63" s="3">
        <v>62.0</v>
      </c>
      <c r="E63" s="3">
        <v>185.0</v>
      </c>
      <c r="F63" s="3">
        <v>-4.0</v>
      </c>
      <c r="G63" s="4">
        <f>+10</f>
        <v>10</v>
      </c>
      <c r="H63" s="3" t="s">
        <v>469</v>
      </c>
      <c r="I63" s="3">
        <v>75.0</v>
      </c>
      <c r="J63" s="3">
        <v>117.0</v>
      </c>
      <c r="K63" s="3" t="s">
        <v>341</v>
      </c>
      <c r="L63" s="5">
        <v>46300.0</v>
      </c>
      <c r="M63" s="5">
        <v>46301.0</v>
      </c>
      <c r="N63" s="5">
        <v>46083.0</v>
      </c>
      <c r="O63" s="5">
        <v>46027.0</v>
      </c>
      <c r="P63" s="5">
        <v>46055.0</v>
      </c>
      <c r="Q63" s="5">
        <v>46298.0</v>
      </c>
    </row>
    <row r="64">
      <c r="A64" s="3">
        <v>63.0</v>
      </c>
      <c r="B64" s="3" t="s">
        <v>282</v>
      </c>
      <c r="C64" s="3" t="s">
        <v>470</v>
      </c>
      <c r="D64" s="3">
        <v>63.0</v>
      </c>
      <c r="E64" s="3">
        <v>114.0</v>
      </c>
      <c r="F64" s="3" t="s">
        <v>307</v>
      </c>
      <c r="G64" s="4">
        <f>+4</f>
        <v>4</v>
      </c>
      <c r="H64" s="3" t="s">
        <v>471</v>
      </c>
      <c r="I64" s="3">
        <v>46.0</v>
      </c>
      <c r="J64" s="3">
        <v>114.0</v>
      </c>
      <c r="K64" s="3" t="s">
        <v>376</v>
      </c>
      <c r="L64" s="5">
        <v>46090.0</v>
      </c>
      <c r="M64" s="5">
        <v>46082.0</v>
      </c>
      <c r="N64" s="5">
        <v>46025.0</v>
      </c>
      <c r="O64" s="5">
        <v>46023.0</v>
      </c>
      <c r="P64" s="5">
        <v>46209.0</v>
      </c>
      <c r="Q64" s="5">
        <v>46146.0</v>
      </c>
    </row>
    <row r="65">
      <c r="A65" s="3">
        <v>64.0</v>
      </c>
      <c r="B65" s="3" t="s">
        <v>155</v>
      </c>
      <c r="C65" s="3" t="s">
        <v>459</v>
      </c>
      <c r="D65" s="3">
        <v>64.0</v>
      </c>
      <c r="E65" s="3">
        <v>68.0</v>
      </c>
      <c r="F65" s="3" t="s">
        <v>307</v>
      </c>
      <c r="G65" s="3">
        <v>-5.0</v>
      </c>
      <c r="H65" s="3" t="s">
        <v>472</v>
      </c>
      <c r="I65" s="3">
        <v>121.0</v>
      </c>
      <c r="J65" s="3">
        <v>204.0</v>
      </c>
      <c r="K65" s="5">
        <v>46239.0</v>
      </c>
      <c r="L65" s="5">
        <v>46182.0</v>
      </c>
      <c r="M65" s="5">
        <v>46329.0</v>
      </c>
      <c r="N65" s="5">
        <v>46060.0</v>
      </c>
      <c r="O65" s="3" t="s">
        <v>473</v>
      </c>
      <c r="P65" s="3" t="s">
        <v>362</v>
      </c>
      <c r="Q65" s="5">
        <v>46328.0</v>
      </c>
    </row>
    <row r="66">
      <c r="A66" s="3">
        <v>65.0</v>
      </c>
      <c r="B66" s="3" t="s">
        <v>474</v>
      </c>
      <c r="C66" s="3" t="s">
        <v>369</v>
      </c>
      <c r="D66" s="3">
        <v>65.0</v>
      </c>
      <c r="E66" s="3">
        <v>191.0</v>
      </c>
      <c r="F66" s="3" t="s">
        <v>307</v>
      </c>
      <c r="G66" s="4">
        <f>+4</f>
        <v>4</v>
      </c>
      <c r="H66" s="3" t="s">
        <v>475</v>
      </c>
      <c r="I66" s="3">
        <v>80.0</v>
      </c>
      <c r="J66" s="3">
        <v>187.0</v>
      </c>
      <c r="K66" s="5">
        <v>46358.0</v>
      </c>
      <c r="L66" s="5">
        <v>46242.0</v>
      </c>
      <c r="M66" s="5">
        <v>46297.0</v>
      </c>
      <c r="N66" s="5">
        <v>46024.0</v>
      </c>
      <c r="O66" s="5">
        <v>46055.0</v>
      </c>
      <c r="P66" s="5">
        <v>46055.0</v>
      </c>
      <c r="Q66" s="5">
        <v>46332.0</v>
      </c>
    </row>
    <row r="67">
      <c r="A67" s="3">
        <v>66.0</v>
      </c>
      <c r="B67" s="3" t="s">
        <v>188</v>
      </c>
      <c r="C67" s="3" t="s">
        <v>351</v>
      </c>
      <c r="D67" s="3">
        <v>66.0</v>
      </c>
      <c r="E67" s="3">
        <v>190.0</v>
      </c>
      <c r="F67" s="3" t="s">
        <v>307</v>
      </c>
      <c r="G67" s="4">
        <f>+7</f>
        <v>7</v>
      </c>
      <c r="H67" s="3" t="s">
        <v>476</v>
      </c>
      <c r="I67" s="3">
        <v>59.0</v>
      </c>
      <c r="J67" s="3">
        <v>229.0</v>
      </c>
      <c r="K67" s="5">
        <v>46177.0</v>
      </c>
      <c r="L67" s="3" t="s">
        <v>407</v>
      </c>
      <c r="M67" s="5">
        <v>46328.0</v>
      </c>
      <c r="N67" s="3" t="s">
        <v>477</v>
      </c>
      <c r="O67" s="5">
        <v>46055.0</v>
      </c>
      <c r="P67" s="5">
        <v>46083.0</v>
      </c>
      <c r="Q67" s="3" t="s">
        <v>378</v>
      </c>
    </row>
    <row r="68">
      <c r="A68" s="3">
        <v>67.0</v>
      </c>
      <c r="B68" s="3" t="s">
        <v>231</v>
      </c>
      <c r="C68" s="3" t="s">
        <v>409</v>
      </c>
      <c r="D68" s="3">
        <v>67.0</v>
      </c>
      <c r="E68" s="3">
        <v>108.0</v>
      </c>
      <c r="F68" s="3" t="s">
        <v>307</v>
      </c>
      <c r="G68" s="4">
        <f>+1</f>
        <v>1</v>
      </c>
      <c r="H68" s="3" t="s">
        <v>478</v>
      </c>
      <c r="I68" s="3">
        <v>67.0</v>
      </c>
      <c r="J68" s="3">
        <v>87.0</v>
      </c>
      <c r="K68" s="3" t="s">
        <v>479</v>
      </c>
      <c r="L68" s="5">
        <v>46304.0</v>
      </c>
      <c r="M68" s="5">
        <v>46144.0</v>
      </c>
      <c r="N68" s="3" t="s">
        <v>431</v>
      </c>
      <c r="O68" s="3" t="s">
        <v>420</v>
      </c>
      <c r="P68" s="5">
        <v>46147.0</v>
      </c>
      <c r="Q68" s="3" t="s">
        <v>480</v>
      </c>
    </row>
    <row r="69">
      <c r="A69" s="3">
        <v>68.0</v>
      </c>
      <c r="B69" s="3" t="s">
        <v>481</v>
      </c>
      <c r="C69" s="3" t="s">
        <v>482</v>
      </c>
      <c r="D69" s="3">
        <v>68.0</v>
      </c>
      <c r="E69" s="3">
        <v>54.0</v>
      </c>
      <c r="F69" s="4">
        <f>+3</f>
        <v>3</v>
      </c>
      <c r="G69" s="3">
        <v>-5.0</v>
      </c>
      <c r="H69" s="3" t="s">
        <v>411</v>
      </c>
      <c r="I69" s="3">
        <v>45.0</v>
      </c>
      <c r="J69" s="3">
        <v>25.0</v>
      </c>
      <c r="K69" s="5">
        <v>46212.0</v>
      </c>
      <c r="L69" s="5">
        <v>46243.0</v>
      </c>
      <c r="M69" s="5">
        <v>46205.0</v>
      </c>
      <c r="N69" s="3" t="s">
        <v>483</v>
      </c>
      <c r="O69" s="5">
        <v>46027.0</v>
      </c>
      <c r="P69" s="5">
        <v>46207.0</v>
      </c>
      <c r="Q69" s="5">
        <v>46331.0</v>
      </c>
    </row>
    <row r="70">
      <c r="A70" s="3">
        <v>69.0</v>
      </c>
      <c r="B70" s="3" t="s">
        <v>484</v>
      </c>
      <c r="C70" s="3" t="s">
        <v>412</v>
      </c>
      <c r="D70" s="3">
        <v>69.0</v>
      </c>
      <c r="E70" s="3">
        <v>164.0</v>
      </c>
      <c r="F70" s="3">
        <v>-1.0</v>
      </c>
      <c r="G70" s="3">
        <v>-14.0</v>
      </c>
      <c r="H70" s="3" t="s">
        <v>472</v>
      </c>
      <c r="I70" s="3">
        <v>57.0</v>
      </c>
      <c r="J70" s="3">
        <v>237.0</v>
      </c>
      <c r="K70" s="5">
        <v>46147.0</v>
      </c>
      <c r="L70" s="5">
        <v>46209.0</v>
      </c>
      <c r="M70" s="3" t="s">
        <v>485</v>
      </c>
      <c r="N70" s="5">
        <v>46028.0</v>
      </c>
      <c r="O70" s="5">
        <v>46059.0</v>
      </c>
      <c r="P70" s="5">
        <v>46236.0</v>
      </c>
      <c r="Q70" s="5">
        <v>46266.0</v>
      </c>
    </row>
    <row r="71">
      <c r="A71" s="3">
        <v>70.0</v>
      </c>
      <c r="B71" s="3" t="s">
        <v>486</v>
      </c>
      <c r="C71" s="3" t="s">
        <v>467</v>
      </c>
      <c r="D71" s="3">
        <v>70.0</v>
      </c>
      <c r="E71" s="3">
        <v>144.0</v>
      </c>
      <c r="F71" s="3">
        <v>-1.0</v>
      </c>
      <c r="G71" s="3">
        <v>-13.0</v>
      </c>
      <c r="H71" s="3" t="s">
        <v>487</v>
      </c>
      <c r="I71" s="3">
        <v>62.0</v>
      </c>
      <c r="J71" s="3">
        <v>103.0</v>
      </c>
      <c r="K71" s="5">
        <v>46358.0</v>
      </c>
      <c r="L71" s="5">
        <v>46211.0</v>
      </c>
      <c r="M71" s="5">
        <v>46267.0</v>
      </c>
      <c r="N71" s="3" t="s">
        <v>402</v>
      </c>
      <c r="O71" s="5">
        <v>46024.0</v>
      </c>
      <c r="P71" s="5">
        <v>46083.0</v>
      </c>
      <c r="Q71" s="5">
        <v>46360.0</v>
      </c>
    </row>
    <row r="72">
      <c r="A72" s="3">
        <v>71.0</v>
      </c>
      <c r="B72" s="3" t="s">
        <v>488</v>
      </c>
      <c r="C72" s="3" t="s">
        <v>489</v>
      </c>
      <c r="D72" s="3">
        <v>71.0</v>
      </c>
      <c r="E72" s="3">
        <v>37.0</v>
      </c>
      <c r="F72" s="4">
        <f>+2</f>
        <v>2</v>
      </c>
      <c r="G72" s="4">
        <f>+11</f>
        <v>11</v>
      </c>
      <c r="H72" s="5">
        <v>46219.0</v>
      </c>
      <c r="I72" s="3">
        <v>85.0</v>
      </c>
      <c r="J72" s="3">
        <v>12.0</v>
      </c>
      <c r="K72" s="5">
        <v>46276.0</v>
      </c>
      <c r="L72" s="5">
        <v>46270.0</v>
      </c>
      <c r="M72" s="5">
        <v>46058.0</v>
      </c>
      <c r="N72" s="3" t="s">
        <v>473</v>
      </c>
      <c r="O72" s="5">
        <v>46028.0</v>
      </c>
      <c r="P72" s="5">
        <v>46143.0</v>
      </c>
      <c r="Q72" s="5">
        <v>46301.0</v>
      </c>
    </row>
    <row r="73">
      <c r="A73" s="3">
        <v>72.0</v>
      </c>
      <c r="B73" s="3" t="s">
        <v>490</v>
      </c>
      <c r="C73" s="3" t="s">
        <v>491</v>
      </c>
      <c r="D73" s="3">
        <v>72.0</v>
      </c>
      <c r="E73" s="3">
        <v>82.0</v>
      </c>
      <c r="F73" s="3">
        <v>-2.0</v>
      </c>
      <c r="G73" s="3">
        <v>-8.0</v>
      </c>
      <c r="H73" s="3" t="s">
        <v>355</v>
      </c>
      <c r="I73" s="3">
        <v>56.0</v>
      </c>
      <c r="J73" s="3">
        <v>163.0</v>
      </c>
      <c r="K73" s="5">
        <v>46268.0</v>
      </c>
      <c r="L73" s="5">
        <v>46185.0</v>
      </c>
      <c r="M73" s="5">
        <v>46296.0</v>
      </c>
      <c r="N73" s="3" t="s">
        <v>431</v>
      </c>
      <c r="O73" s="3" t="s">
        <v>420</v>
      </c>
      <c r="P73" s="5">
        <v>46151.0</v>
      </c>
      <c r="Q73" s="5">
        <v>46296.0</v>
      </c>
    </row>
    <row r="74">
      <c r="A74" s="3">
        <v>73.0</v>
      </c>
      <c r="B74" s="3" t="s">
        <v>87</v>
      </c>
      <c r="C74" s="3" t="s">
        <v>492</v>
      </c>
      <c r="D74" s="3">
        <v>73.0</v>
      </c>
      <c r="E74" s="3">
        <v>78.0</v>
      </c>
      <c r="F74" s="3">
        <v>-1.0</v>
      </c>
      <c r="G74" s="4">
        <f>+5</f>
        <v>5</v>
      </c>
      <c r="H74" s="3" t="s">
        <v>493</v>
      </c>
      <c r="I74" s="3">
        <v>72.0</v>
      </c>
      <c r="J74" s="3">
        <v>49.0</v>
      </c>
      <c r="K74" s="3" t="s">
        <v>494</v>
      </c>
      <c r="L74" s="5">
        <v>46153.0</v>
      </c>
      <c r="M74" s="5">
        <v>46085.0</v>
      </c>
      <c r="N74" s="3" t="s">
        <v>384</v>
      </c>
      <c r="O74" s="3" t="s">
        <v>384</v>
      </c>
      <c r="P74" s="5">
        <v>46206.0</v>
      </c>
      <c r="Q74" s="5">
        <v>46271.0</v>
      </c>
    </row>
    <row r="75">
      <c r="A75" s="3">
        <v>74.0</v>
      </c>
      <c r="B75" s="3" t="s">
        <v>219</v>
      </c>
      <c r="C75" s="3" t="s">
        <v>495</v>
      </c>
      <c r="D75" s="3">
        <v>74.0</v>
      </c>
      <c r="E75" s="3">
        <v>135.0</v>
      </c>
      <c r="F75" s="4">
        <f t="shared" ref="F75:F76" si="10">+2</f>
        <v>2</v>
      </c>
      <c r="G75" s="4">
        <f>+1</f>
        <v>1</v>
      </c>
      <c r="H75" s="3" t="s">
        <v>383</v>
      </c>
      <c r="I75" s="3">
        <v>73.0</v>
      </c>
      <c r="J75" s="3">
        <v>132.0</v>
      </c>
      <c r="K75" s="5">
        <v>46115.0</v>
      </c>
      <c r="L75" s="5">
        <v>46270.0</v>
      </c>
      <c r="M75" s="3" t="s">
        <v>479</v>
      </c>
      <c r="N75" s="3" t="s">
        <v>477</v>
      </c>
      <c r="O75" s="5">
        <v>46056.0</v>
      </c>
      <c r="P75" s="5">
        <v>46145.0</v>
      </c>
      <c r="Q75" s="5">
        <v>46359.0</v>
      </c>
    </row>
    <row r="76">
      <c r="A76" s="3">
        <v>75.0</v>
      </c>
      <c r="B76" s="3" t="s">
        <v>274</v>
      </c>
      <c r="C76" s="3" t="s">
        <v>470</v>
      </c>
      <c r="D76" s="3">
        <v>75.0</v>
      </c>
      <c r="E76" s="3">
        <v>126.0</v>
      </c>
      <c r="F76" s="4">
        <f t="shared" si="10"/>
        <v>2</v>
      </c>
      <c r="G76" s="4">
        <f>+10</f>
        <v>10</v>
      </c>
      <c r="H76" s="3" t="s">
        <v>496</v>
      </c>
      <c r="I76" s="3">
        <v>103.0</v>
      </c>
      <c r="J76" s="3">
        <v>153.0</v>
      </c>
      <c r="K76" s="3" t="s">
        <v>497</v>
      </c>
      <c r="L76" s="5">
        <v>46272.0</v>
      </c>
      <c r="M76" s="5">
        <v>46057.0</v>
      </c>
      <c r="N76" s="3" t="s">
        <v>368</v>
      </c>
      <c r="O76" s="3" t="s">
        <v>477</v>
      </c>
      <c r="P76" s="5">
        <v>46178.0</v>
      </c>
      <c r="Q76" s="3" t="s">
        <v>498</v>
      </c>
    </row>
  </sheetData>
  <drawing r:id="rId1"/>
</worksheet>
</file>